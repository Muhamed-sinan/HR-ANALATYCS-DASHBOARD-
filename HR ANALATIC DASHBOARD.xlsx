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dhur\Downloads\DATA SCIENCE &amp; A I\EXCEL\ALL PROJECTS\EXCEL PROJCT 4\"/>
    </mc:Choice>
  </mc:AlternateContent>
  <xr:revisionPtr revIDLastSave="0" documentId="13_ncr:1_{C895F621-2472-42EE-B79D-8F8DA88E43D4}" xr6:coauthVersionLast="47" xr6:coauthVersionMax="47" xr10:uidLastSave="{00000000-0000-0000-0000-000000000000}"/>
  <bookViews>
    <workbookView xWindow="-108" yWindow="-108" windowWidth="23256" windowHeight="12456" activeTab="1" xr2:uid="{5A51F4BC-9B0E-493B-816F-E8DD27FACE37}"/>
  </bookViews>
  <sheets>
    <sheet name="PIVOT" sheetId="3" r:id="rId1"/>
    <sheet name="DASHBOARD" sheetId="1" r:id="rId2"/>
    <sheet name="HR DATASET" sheetId="2" r:id="rId3"/>
  </sheets>
  <definedNames>
    <definedName name="ExternalData_1" localSheetId="2" hidden="1">'HR DATASET'!$A$1:$O$1201</definedName>
    <definedName name="Slicer_Job_Role">#N/A</definedName>
    <definedName name="Slicer_Years_at_Compan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3" l="1"/>
  <c r="K4" i="3"/>
  <c r="H8" i="3"/>
  <c r="G8" i="3"/>
  <c r="E8" i="3"/>
  <c r="D4" i="3"/>
  <c r="C8" i="3" l="1"/>
  <c r="I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64BD55-EE5B-4378-B35F-C0752F1CBFE8}" keepAlive="1" name="Query - HR DATASET" description="Connection to the 'HR DATASET' query in the workbook." type="5" refreshedVersion="8" background="1" saveData="1">
    <dbPr connection="Provider=Microsoft.Mashup.OleDb.1;Data Source=$Workbook$;Location=&quot;HR DATASET&quot;;Extended Properties=&quot;&quot;" command="SELECT * FROM [HR DATASET]"/>
  </connection>
</connections>
</file>

<file path=xl/sharedStrings.xml><?xml version="1.0" encoding="utf-8"?>
<sst xmlns="http://schemas.openxmlformats.org/spreadsheetml/2006/main" count="10872" uniqueCount="1255">
  <si>
    <t>Employee_ID</t>
  </si>
  <si>
    <t>Age</t>
  </si>
  <si>
    <t>Gender</t>
  </si>
  <si>
    <t>Department</t>
  </si>
  <si>
    <t>Job_Role</t>
  </si>
  <si>
    <t>Education_Level</t>
  </si>
  <si>
    <t>Marital_Status</t>
  </si>
  <si>
    <t>Monthly_Salary</t>
  </si>
  <si>
    <t>Years_at_Company</t>
  </si>
  <si>
    <t>Years_in_Current_Role</t>
  </si>
  <si>
    <t>Overtime</t>
  </si>
  <si>
    <t>Performance_Rating</t>
  </si>
  <si>
    <t>Training_Hours</t>
  </si>
  <si>
    <t>Attrition</t>
  </si>
  <si>
    <t>Job_Satisfaction_Score</t>
  </si>
  <si>
    <t>EMP1000</t>
  </si>
  <si>
    <t>Female</t>
  </si>
  <si>
    <t>Finance</t>
  </si>
  <si>
    <t>Executive</t>
  </si>
  <si>
    <t>Diploma</t>
  </si>
  <si>
    <t>Single</t>
  </si>
  <si>
    <t>Yes</t>
  </si>
  <si>
    <t>Excellent</t>
  </si>
  <si>
    <t>EMP1001</t>
  </si>
  <si>
    <t>Male</t>
  </si>
  <si>
    <t>Marketing</t>
  </si>
  <si>
    <t>Analyst</t>
  </si>
  <si>
    <t>MBA</t>
  </si>
  <si>
    <t>Married</t>
  </si>
  <si>
    <t>No</t>
  </si>
  <si>
    <t>Low</t>
  </si>
  <si>
    <t>EMP1002</t>
  </si>
  <si>
    <t>Operations</t>
  </si>
  <si>
    <t>Manager</t>
  </si>
  <si>
    <t>EMP1003</t>
  </si>
  <si>
    <t>Sales</t>
  </si>
  <si>
    <t>Master</t>
  </si>
  <si>
    <t>EMP1004</t>
  </si>
  <si>
    <t>Bachelor</t>
  </si>
  <si>
    <t>EMP1005</t>
  </si>
  <si>
    <t>HR</t>
  </si>
  <si>
    <t>Associate</t>
  </si>
  <si>
    <t>EMP1006</t>
  </si>
  <si>
    <t>EMP1007</t>
  </si>
  <si>
    <t>IT</t>
  </si>
  <si>
    <t>Average</t>
  </si>
  <si>
    <t>EMP1008</t>
  </si>
  <si>
    <t>Good</t>
  </si>
  <si>
    <t>EMP1009</t>
  </si>
  <si>
    <t>EMP1010</t>
  </si>
  <si>
    <t>Team Lead</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</si>
  <si>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</si>
  <si>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</si>
  <si>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</si>
  <si>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</si>
  <si>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</si>
  <si>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</si>
  <si>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</si>
  <si>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</si>
  <si>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</si>
  <si>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</si>
  <si>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</si>
  <si>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</si>
  <si>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</si>
  <si>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</si>
  <si>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</si>
  <si>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</si>
  <si>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</si>
  <si>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</si>
  <si>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</si>
  <si>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</si>
  <si>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</si>
  <si>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</si>
  <si>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</si>
  <si>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</si>
  <si>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</si>
  <si>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</si>
  <si>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</si>
  <si>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</si>
  <si>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</si>
  <si>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</si>
  <si>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</si>
  <si>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</si>
  <si>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</si>
  <si>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</si>
  <si>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</si>
  <si>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</si>
  <si>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</si>
  <si>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</si>
  <si>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</si>
  <si>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</si>
  <si>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</si>
  <si>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</si>
  <si>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</si>
  <si>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</si>
  <si>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</si>
  <si>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</si>
  <si>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</si>
  <si>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</si>
  <si>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</si>
  <si>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</si>
  <si>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</si>
  <si>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</si>
  <si>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</si>
  <si>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</si>
  <si>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</si>
  <si>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</si>
  <si>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</si>
  <si>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</si>
  <si>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</si>
  <si>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</si>
  <si>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</si>
  <si>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</si>
  <si>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</si>
  <si>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</si>
  <si>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</si>
  <si>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</si>
  <si>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</si>
  <si>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</si>
  <si>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</si>
  <si>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</si>
  <si>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</si>
  <si>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</si>
  <si>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</si>
  <si>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</si>
  <si>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</si>
  <si>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</si>
  <si>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</si>
  <si>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</si>
  <si>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</si>
  <si>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</si>
  <si>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</si>
  <si>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</si>
  <si>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</si>
  <si>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</si>
  <si>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</si>
  <si>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</si>
  <si>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</si>
  <si>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</si>
  <si>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</si>
  <si>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</si>
  <si>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</si>
  <si>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</si>
  <si>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</si>
  <si>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</si>
  <si>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</si>
  <si>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</si>
  <si>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</si>
  <si>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</si>
  <si>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</si>
  <si>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</si>
  <si>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</si>
  <si>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</si>
  <si>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</si>
  <si>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</si>
  <si>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</si>
  <si>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</si>
  <si>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</si>
  <si>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</si>
  <si>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</si>
  <si>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</si>
  <si>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</si>
  <si>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</si>
  <si>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</si>
  <si>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</si>
  <si>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</si>
  <si>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</si>
  <si>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</si>
  <si>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</si>
  <si>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</si>
  <si>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</si>
  <si>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</si>
  <si>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</si>
  <si>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</si>
  <si>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</si>
  <si>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</si>
  <si>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</si>
  <si>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</si>
  <si>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</si>
  <si>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</si>
  <si>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</si>
  <si>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</si>
  <si>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</si>
  <si>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</si>
  <si>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</si>
  <si>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</si>
  <si>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</si>
  <si>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</si>
  <si>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</si>
  <si>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</si>
  <si>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</si>
  <si>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</si>
  <si>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</si>
  <si>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</si>
  <si>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</si>
  <si>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</si>
  <si>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</si>
  <si>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</si>
  <si>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</si>
  <si>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</si>
  <si>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</si>
  <si>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</si>
  <si>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</si>
  <si>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</si>
  <si>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</si>
  <si>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</si>
  <si>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</si>
  <si>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</si>
  <si>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</si>
  <si>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</si>
  <si>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</si>
  <si>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</si>
  <si>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</si>
  <si>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</si>
  <si>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</si>
  <si>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</si>
  <si>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</si>
  <si>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</si>
  <si>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</si>
  <si>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</si>
  <si>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</si>
  <si>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</si>
  <si>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</si>
  <si>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</si>
  <si>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</si>
  <si>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</si>
  <si>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</si>
  <si>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</si>
  <si>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</si>
  <si>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</si>
  <si>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</si>
  <si>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</si>
  <si>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</si>
  <si>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</si>
  <si>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</si>
  <si>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</si>
  <si>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</si>
  <si>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</si>
  <si>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</si>
  <si>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</si>
  <si>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</si>
  <si>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</si>
  <si>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</si>
  <si>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</si>
  <si>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</si>
  <si>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</si>
  <si>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</si>
  <si>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</si>
  <si>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</si>
  <si>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</si>
  <si>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</si>
  <si>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</si>
  <si>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</si>
  <si>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</si>
  <si>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</si>
  <si>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</si>
  <si>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</si>
  <si>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</si>
  <si>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</si>
  <si>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</si>
  <si>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</si>
  <si>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</si>
  <si>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</si>
  <si>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</si>
  <si>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</si>
  <si>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</si>
  <si>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</si>
  <si>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</si>
  <si>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</si>
  <si>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</si>
  <si>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</si>
  <si>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</si>
  <si>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</si>
  <si>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</si>
  <si>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</si>
  <si>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</si>
  <si>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</si>
  <si>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</si>
  <si>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</si>
  <si>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</si>
  <si>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</si>
  <si>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</si>
  <si>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</si>
  <si>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</si>
  <si>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</si>
  <si>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</si>
  <si>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</si>
  <si>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</si>
  <si>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</si>
  <si>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</si>
  <si>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</si>
  <si>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</si>
  <si>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</si>
  <si>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</si>
  <si>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</si>
  <si>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</si>
  <si>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</si>
  <si>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</si>
  <si>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</si>
  <si>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</si>
  <si>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</si>
  <si>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</si>
  <si>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</si>
  <si>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</si>
  <si>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</si>
  <si>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</si>
  <si>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</si>
  <si>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</si>
  <si>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</si>
  <si>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</si>
  <si>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</si>
  <si>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</si>
  <si>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</si>
  <si>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</si>
  <si>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</si>
  <si>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</si>
  <si>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</si>
  <si>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</si>
  <si>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</si>
  <si>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</si>
  <si>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</si>
  <si>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</si>
  <si>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</si>
  <si>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</si>
  <si>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</si>
  <si>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</si>
  <si>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</si>
  <si>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</si>
  <si>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</si>
  <si>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</si>
  <si>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</si>
  <si>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</si>
  <si>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</si>
  <si>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</si>
  <si>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</si>
  <si>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</si>
  <si>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</si>
  <si>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</si>
  <si>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</si>
  <si>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</si>
  <si>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</si>
  <si>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</si>
  <si>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</si>
  <si>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</si>
  <si>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</si>
  <si>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</si>
  <si>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</si>
  <si>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</si>
  <si>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</si>
  <si>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</si>
  <si>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</si>
  <si>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</si>
  <si>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</si>
  <si>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</si>
  <si>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</si>
  <si>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</si>
  <si>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</si>
  <si>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</si>
  <si>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</si>
  <si>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</si>
  <si>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</si>
  <si>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</si>
  <si>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</si>
  <si>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</si>
  <si>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</si>
  <si>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</si>
  <si>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</si>
  <si>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</si>
  <si>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</si>
  <si>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</si>
  <si>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</si>
  <si>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</si>
  <si>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</si>
  <si>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</si>
  <si>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</si>
  <si>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</si>
  <si>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</si>
  <si>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</si>
  <si>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</si>
  <si>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</si>
  <si>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</si>
  <si>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</si>
  <si>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</si>
  <si>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</si>
  <si>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</si>
  <si>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</si>
  <si>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</si>
  <si>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</si>
  <si>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</si>
  <si>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</si>
  <si>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</si>
  <si>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</si>
  <si>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</si>
  <si>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</si>
  <si>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</si>
  <si>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</si>
  <si>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</si>
  <si>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</si>
  <si>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</si>
  <si>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</si>
  <si>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</si>
  <si>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</si>
  <si>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</si>
  <si>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</si>
  <si>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</si>
  <si>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</si>
  <si>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</si>
  <si>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</si>
  <si>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</si>
  <si>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</si>
  <si>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</si>
  <si>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</si>
  <si>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</si>
  <si>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</si>
  <si>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</si>
  <si>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</si>
  <si>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</si>
  <si>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</si>
  <si>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</si>
  <si>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</si>
  <si>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</si>
  <si>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</si>
  <si>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</si>
  <si>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</si>
  <si>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</si>
  <si>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</si>
  <si>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</si>
  <si>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</si>
  <si>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</si>
  <si>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</si>
  <si>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</si>
  <si>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</si>
  <si>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</si>
  <si>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</si>
  <si>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</si>
  <si>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</si>
  <si>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</si>
  <si>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</si>
  <si>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</si>
  <si>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</si>
  <si>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</si>
  <si>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</si>
  <si>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</si>
  <si>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</si>
  <si>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</si>
  <si>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</si>
  <si>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</si>
  <si>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</si>
  <si>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</si>
  <si>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</si>
  <si>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</si>
  <si>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</si>
  <si>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</si>
  <si>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</si>
  <si>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</si>
  <si>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</si>
  <si>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</si>
  <si>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</si>
  <si>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</si>
  <si>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</si>
  <si>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</si>
  <si>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</si>
  <si>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</si>
  <si>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</si>
  <si>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</si>
  <si>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</si>
  <si>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</si>
  <si>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</si>
  <si>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</si>
  <si>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</si>
  <si>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</si>
  <si>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</si>
  <si>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</si>
  <si>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</si>
  <si>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</si>
  <si>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</si>
  <si>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</si>
  <si>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</si>
  <si>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</si>
  <si>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</si>
  <si>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</si>
  <si>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</si>
  <si>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</si>
  <si>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</si>
  <si>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</si>
  <si>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</si>
  <si>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</si>
  <si>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</si>
  <si>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</si>
  <si>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</si>
  <si>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</si>
  <si>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</si>
  <si>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</si>
  <si>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</si>
  <si>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</si>
  <si>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</si>
  <si>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</si>
  <si>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</si>
  <si>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</si>
  <si>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</si>
  <si>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</si>
  <si>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</si>
  <si>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</si>
  <si>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</si>
  <si>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</si>
  <si>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</si>
  <si>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</si>
  <si>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</si>
  <si>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</si>
  <si>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</si>
  <si>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</si>
  <si>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</si>
  <si>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</si>
  <si>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</si>
  <si>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</si>
  <si>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</si>
  <si>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</si>
  <si>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</si>
  <si>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</si>
  <si>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</si>
  <si>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</si>
  <si>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</si>
  <si>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</si>
  <si>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</si>
  <si>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</si>
  <si>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</si>
  <si>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</si>
  <si>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</si>
  <si>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</si>
  <si>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</si>
  <si>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</si>
  <si>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</si>
  <si>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</si>
  <si>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</si>
  <si>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</si>
  <si>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</si>
  <si>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</si>
  <si>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</si>
  <si>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</si>
  <si>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</si>
  <si>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</si>
  <si>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</si>
  <si>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</si>
  <si>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</si>
  <si>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</si>
  <si>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</si>
  <si>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</si>
  <si>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</si>
  <si>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</si>
  <si>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</si>
  <si>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</si>
  <si>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</si>
  <si>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</si>
  <si>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</si>
  <si>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</si>
  <si>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</si>
  <si>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</si>
  <si>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</si>
  <si>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</si>
  <si>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</si>
  <si>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</si>
  <si>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</si>
  <si>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</si>
  <si>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</si>
  <si>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</si>
  <si>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</si>
  <si>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</si>
  <si>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</si>
  <si>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</si>
  <si>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</si>
  <si>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</si>
  <si>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</si>
  <si>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</si>
  <si>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</si>
  <si>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</si>
  <si>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</si>
  <si>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</si>
  <si>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</si>
  <si>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</si>
  <si>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</si>
  <si>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</si>
  <si>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</si>
  <si>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</si>
  <si>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</si>
  <si>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</si>
  <si>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</si>
  <si>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</si>
  <si>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</si>
  <si>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</si>
  <si>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</si>
  <si>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</si>
  <si>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</si>
  <si>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</si>
  <si>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</si>
  <si>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</si>
  <si>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</si>
  <si>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</si>
  <si>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</si>
  <si>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</si>
  <si>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</si>
  <si>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</si>
  <si>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</si>
  <si>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</si>
  <si>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</si>
  <si>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</si>
  <si>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</si>
  <si>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</si>
  <si>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</si>
  <si>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</si>
  <si>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</si>
  <si>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</si>
  <si>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</si>
  <si>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</si>
  <si>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</si>
  <si>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</si>
  <si>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</si>
  <si>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</si>
  <si>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</si>
  <si>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</si>
  <si>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</si>
  <si>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</si>
  <si>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</si>
  <si>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</si>
  <si>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</si>
  <si>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</si>
  <si>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</si>
  <si>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</si>
  <si>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</si>
  <si>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</si>
  <si>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</si>
  <si>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</si>
  <si>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</si>
  <si>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</si>
  <si>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</si>
  <si>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</si>
  <si>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</si>
  <si>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</si>
  <si>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</si>
  <si>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</si>
  <si>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</si>
  <si>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</si>
  <si>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</si>
  <si>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</si>
  <si>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</si>
  <si>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</si>
  <si>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</si>
  <si>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</si>
  <si>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</si>
  <si>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</si>
  <si>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</si>
  <si>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</si>
  <si>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</si>
  <si>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</si>
  <si>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</si>
  <si>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</si>
  <si>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</si>
  <si>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</si>
  <si>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</si>
  <si>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</si>
  <si>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</si>
  <si>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</si>
  <si>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</si>
  <si>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</si>
  <si>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</si>
  <si>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</si>
  <si>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</si>
  <si>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</si>
  <si>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</si>
  <si>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</si>
  <si>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</si>
  <si>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</si>
  <si>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</si>
  <si>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</si>
  <si>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</si>
  <si>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</si>
  <si>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</si>
  <si>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</si>
  <si>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</si>
  <si>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</si>
  <si>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</si>
  <si>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</si>
  <si>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</si>
  <si>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</si>
  <si>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</si>
  <si>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</si>
  <si>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</si>
  <si>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</si>
  <si>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</si>
  <si>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</si>
  <si>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</si>
  <si>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</si>
  <si>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</si>
  <si>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</si>
  <si>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</si>
  <si>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</si>
  <si>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</si>
  <si>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</si>
  <si>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</si>
  <si>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</si>
  <si>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</si>
  <si>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</si>
  <si>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</si>
  <si>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</si>
  <si>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</si>
  <si>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</si>
  <si>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</si>
  <si>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</si>
  <si>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</si>
  <si>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</si>
  <si>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</si>
  <si>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</si>
  <si>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</si>
  <si>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</si>
  <si>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</si>
  <si>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</si>
  <si>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</si>
  <si>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</si>
  <si>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</si>
  <si>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</si>
  <si>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</si>
  <si>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</si>
  <si>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</si>
  <si>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</si>
  <si>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</si>
  <si>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</si>
  <si>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</si>
  <si>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</si>
  <si>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</si>
  <si>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</si>
  <si>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</si>
  <si>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</si>
  <si>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</si>
  <si>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</si>
  <si>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</si>
  <si>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</si>
  <si>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</si>
  <si>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</si>
  <si>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</si>
  <si>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</si>
  <si>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</si>
  <si>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</si>
  <si>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</si>
  <si>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</si>
  <si>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</si>
  <si>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</si>
  <si>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</si>
  <si>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</si>
  <si>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</si>
  <si>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</si>
  <si>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</si>
  <si>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</si>
  <si>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</si>
  <si>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</si>
  <si>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</si>
  <si>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</si>
  <si>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</si>
  <si>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</si>
  <si>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</si>
  <si>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</si>
  <si>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</si>
  <si>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</si>
  <si>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</si>
  <si>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</si>
  <si>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</si>
  <si>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</si>
  <si>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</si>
  <si>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</si>
  <si>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</si>
  <si>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</si>
  <si>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</si>
  <si>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</si>
  <si>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</si>
  <si>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</si>
  <si>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</si>
  <si>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</si>
  <si>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</si>
  <si>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</si>
  <si>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</si>
  <si>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</si>
  <si>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</si>
  <si>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</si>
  <si>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</si>
  <si>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</si>
  <si>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</si>
  <si>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</si>
  <si>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</si>
  <si>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</si>
  <si>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</si>
  <si>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</si>
  <si>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</si>
  <si>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</si>
  <si>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</si>
  <si>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</si>
  <si>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</si>
  <si>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</si>
  <si>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</si>
  <si>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</si>
  <si>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</si>
  <si>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</si>
  <si>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</si>
  <si>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</si>
  <si>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</si>
  <si>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</si>
  <si>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</si>
  <si>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</si>
  <si>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</si>
  <si>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</si>
  <si>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</si>
  <si>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</si>
  <si>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</si>
  <si>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</si>
  <si>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</si>
  <si>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</si>
  <si>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</si>
  <si>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</si>
  <si>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</si>
  <si>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</si>
  <si>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</si>
  <si>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</si>
  <si>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</si>
  <si>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</si>
  <si>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</si>
  <si>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</si>
  <si>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</si>
  <si>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</si>
  <si>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</si>
  <si>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</si>
  <si>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</si>
  <si>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</si>
  <si>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</si>
  <si>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</si>
  <si>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</si>
  <si>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</si>
  <si>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</si>
  <si>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</si>
  <si>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</si>
  <si>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</si>
  <si>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</si>
  <si>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</si>
  <si>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</si>
  <si>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</si>
  <si>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</si>
  <si>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</si>
  <si>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</si>
  <si>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</si>
  <si>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</si>
  <si>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</si>
  <si>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</si>
  <si>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</si>
  <si>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</si>
  <si>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</si>
  <si>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</si>
  <si>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</si>
  <si>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</si>
  <si>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</si>
  <si>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</si>
  <si>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</si>
  <si>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</si>
  <si>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</si>
  <si>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</si>
  <si>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</si>
  <si>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</si>
  <si>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</si>
  <si>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</si>
  <si>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</si>
  <si>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</si>
  <si>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</si>
  <si>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</si>
  <si>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</si>
  <si>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</si>
  <si>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</si>
  <si>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</si>
  <si>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</si>
  <si>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</si>
  <si>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</si>
  <si>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</si>
  <si>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</si>
  <si>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</si>
  <si>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</si>
  <si>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</si>
  <si>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</si>
  <si>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</si>
  <si>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</si>
  <si>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</si>
  <si>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</si>
  <si>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</si>
  <si>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</si>
  <si>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</si>
  <si>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</si>
  <si>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</si>
  <si>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</si>
  <si>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</si>
  <si>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</si>
  <si>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</si>
  <si>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</si>
  <si>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</si>
  <si>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</si>
  <si>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</si>
  <si>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</si>
  <si>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</si>
  <si>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</si>
  <si>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</si>
  <si>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</si>
  <si>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</si>
  <si>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</si>
  <si>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</si>
  <si>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</si>
  <si>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</si>
  <si>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</si>
  <si>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</si>
  <si>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</si>
  <si>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</si>
  <si>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</si>
  <si>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</si>
  <si>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</si>
  <si>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</si>
  <si>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</si>
  <si>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</si>
  <si>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</si>
  <si>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</si>
  <si>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</si>
  <si>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</si>
  <si>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</si>
  <si>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</si>
  <si>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</si>
  <si>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</si>
  <si>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</si>
  <si>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</si>
  <si>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</si>
  <si>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</si>
  <si>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</si>
  <si>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</si>
  <si>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</si>
  <si>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</si>
  <si>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</si>
  <si>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</si>
  <si>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</si>
  <si>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</si>
  <si>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</si>
  <si>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</si>
  <si>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</si>
  <si>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</si>
  <si>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</si>
  <si>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</si>
  <si>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</si>
  <si>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</si>
  <si>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</si>
  <si>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</si>
  <si>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</si>
  <si>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</si>
  <si>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</si>
  <si>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</si>
  <si>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</si>
  <si>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</si>
  <si>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</si>
  <si>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</si>
  <si>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</si>
  <si>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</si>
  <si>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</si>
  <si>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</si>
  <si>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</si>
  <si>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</si>
  <si>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</si>
  <si>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</si>
  <si>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</si>
  <si>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</si>
  <si>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</si>
  <si>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</si>
  <si>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</si>
  <si>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</si>
  <si>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</si>
  <si>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</si>
  <si>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</si>
  <si>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</si>
  <si>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</si>
  <si>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</si>
  <si>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</si>
  <si>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</si>
  <si>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</si>
  <si>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</si>
  <si>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</si>
  <si>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</si>
  <si>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</si>
  <si>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</si>
  <si>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</si>
  <si>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</si>
  <si>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</si>
  <si>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</si>
  <si>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</si>
  <si>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</si>
  <si>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</si>
  <si>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</si>
  <si>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</si>
  <si>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</si>
  <si>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</si>
  <si>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</si>
  <si>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</si>
  <si>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</si>
  <si>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</si>
  <si>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</si>
  <si>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</si>
  <si>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</si>
  <si>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</si>
  <si>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</si>
  <si>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</si>
  <si>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</si>
  <si>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</si>
  <si>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</si>
  <si>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</si>
  <si>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</si>
  <si>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</si>
  <si>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</si>
  <si>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</si>
  <si>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</si>
  <si>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</si>
  <si>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</si>
  <si>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</si>
  <si>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</si>
  <si>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</si>
  <si>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</si>
  <si>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</si>
  <si>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</si>
  <si>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</si>
  <si>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</si>
  <si>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</si>
  <si>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</si>
  <si>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</si>
  <si>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</si>
  <si>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</si>
  <si>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</si>
  <si>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</si>
  <si>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</si>
  <si>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</si>
  <si>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</si>
  <si>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</si>
  <si>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</si>
  <si>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</si>
  <si>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</si>
  <si>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</si>
  <si>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</si>
  <si>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</si>
  <si>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</si>
  <si>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</si>
  <si>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</si>
  <si>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</si>
  <si>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</si>
  <si>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</si>
  <si>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</si>
  <si>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</si>
  <si>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</si>
  <si>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</si>
  <si>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</si>
  <si>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</si>
  <si>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</si>
  <si>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</si>
  <si>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</si>
  <si>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</si>
  <si>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</si>
  <si>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</si>
  <si>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</si>
  <si>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</si>
  <si>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</si>
  <si>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</si>
  <si>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</si>
  <si>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</si>
  <si>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</si>
  <si>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</si>
  <si>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</si>
  <si>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</si>
  <si>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</si>
  <si>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</si>
  <si>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</si>
  <si>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</si>
  <si>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</si>
  <si>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</si>
  <si>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</si>
  <si>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</si>
  <si>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</si>
  <si>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</si>
  <si>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</si>
  <si>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</si>
  <si>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</si>
  <si>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</si>
  <si>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</si>
  <si>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</si>
  <si>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</si>
  <si>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</si>
  <si>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</si>
  <si>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</si>
  <si>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</si>
  <si>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</si>
  <si>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</si>
  <si>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</si>
  <si>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</si>
  <si>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</si>
  <si>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</si>
  <si>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</si>
  <si>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</si>
  <si>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</si>
  <si>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</si>
  <si>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</si>
  <si>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</si>
  <si>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</si>
  <si>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</si>
  <si>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</si>
  <si>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</si>
  <si>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</si>
  <si>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</si>
  <si>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</si>
  <si>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</si>
  <si>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</si>
  <si>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</si>
  <si>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</si>
  <si>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</si>
  <si>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</si>
  <si>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</si>
  <si>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</si>
  <si>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</si>
  <si>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</si>
  <si>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</si>
  <si>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</si>
  <si>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</si>
  <si>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</si>
  <si>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</si>
  <si>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</si>
  <si>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</si>
  <si>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</si>
  <si>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</si>
  <si>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</si>
  <si>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</si>
  <si>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</si>
  <si>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</si>
  <si>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</si>
  <si>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</si>
  <si>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</si>
  <si>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</si>
  <si>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</si>
  <si>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</si>
  <si>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</si>
  <si>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</si>
  <si>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</si>
  <si>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</si>
  <si>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</si>
  <si>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</si>
  <si>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</si>
  <si>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</si>
  <si>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</si>
  <si>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</si>
  <si>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</si>
  <si>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</si>
  <si>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</si>
  <si>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</si>
  <si>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</si>
  <si>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</si>
  <si>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</si>
  <si>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</si>
  <si>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</si>
  <si>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</si>
  <si>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</si>
  <si>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</si>
  <si>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</si>
  <si>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</si>
  <si>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</si>
  <si>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</si>
  <si>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</si>
  <si>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</si>
  <si>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</si>
  <si>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</si>
  <si>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</si>
  <si>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</si>
  <si>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</si>
  <si>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</si>
  <si>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</si>
  <si>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</si>
  <si>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</si>
  <si>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</si>
  <si>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</si>
  <si>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</si>
  <si>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</si>
  <si>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</si>
  <si>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</si>
  <si>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</si>
  <si>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</si>
  <si>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</si>
  <si>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</si>
  <si>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</si>
  <si>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</si>
  <si>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</si>
  <si>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</si>
  <si>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</si>
  <si>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</si>
  <si>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</si>
  <si>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</si>
  <si>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</si>
  <si>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</si>
  <si>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</si>
  <si>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</si>
  <si>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</si>
  <si>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</si>
  <si>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</si>
  <si>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</si>
  <si>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</si>
  <si>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</si>
  <si>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</si>
  <si>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</si>
  <si>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</si>
  <si>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</si>
  <si>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</si>
  <si>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</si>
  <si>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</si>
  <si>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</si>
  <si>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</si>
  <si>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</si>
  <si>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</si>
  <si>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</si>
  <si>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</si>
  <si>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</si>
  <si>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</si>
  <si>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</si>
  <si>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</si>
  <si>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</si>
  <si>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</si>
  <si>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</si>
  <si>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</si>
  <si>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</si>
  <si>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</si>
  <si>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</si>
  <si>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</si>
  <si>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</si>
  <si>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</si>
  <si>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</si>
  <si>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</si>
  <si>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</si>
  <si>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</si>
  <si>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</si>
  <si>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</si>
  <si>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</si>
  <si>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</si>
  <si>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</si>
  <si>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</si>
  <si>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Count of Employee_ID</t>
  </si>
  <si>
    <t>Count of Attrition</t>
  </si>
  <si>
    <t>Row Labels</t>
  </si>
  <si>
    <t>Average of Monthly_Salary</t>
  </si>
  <si>
    <t>Average of Age</t>
  </si>
  <si>
    <t>Average of Job_Satisfaction_Score</t>
  </si>
  <si>
    <t>Count of Overtime</t>
  </si>
  <si>
    <t xml:space="preserve">TOTAL EMPLOYEES </t>
  </si>
  <si>
    <t>TOTAL ATTRITION</t>
  </si>
  <si>
    <t>AVERAGE OF MONTHLY SALARY</t>
  </si>
  <si>
    <t xml:space="preserve">AVERAGE AGE </t>
  </si>
  <si>
    <t>AVG JOB SATISFACTION SCORE</t>
  </si>
  <si>
    <t>OVERTIME %</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</si>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</sst>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 fontId="0" fillId="0" borderId="0" xfId="0" applyNumberFormat="1"/>
    <xf numFmtId="164" fontId="0" fillId="0" borderId="0" xfId="0" applyNumberFormat="1"/>
    <xf numFmtId="9" fontId="0" fillId="0" borderId="0" xfId="1" applyFont="1" applyBorder="1"/>
    <xf numFmtId="9" fontId="0" fillId="0" borderId="5" xfId="1" applyFont="1" applyBorder="1"/>
    <xf numFmtId="0" fontId="0" fillId="0" borderId="6" xfId="0" applyBorder="1"/>
    <xf numFmtId="0" fontId="0" fillId="0" borderId="7" xfId="0" applyBorder="1"/>
    <xf numFmtId="0" fontId="0" fillId="0" borderId="8" xfId="0" applyBorder="1"/>
    <xf numFmtId="0" fontId="0" fillId="0" borderId="4" xfId="0" pivotButton="1" applyBorder="1"/>
    <xf numFmtId="0" fontId="0" fillId="0" borderId="1" xfId="0" pivotButton="1" applyBorder="1"/>
    <xf numFmtId="0" fontId="0" fillId="0" borderId="4" xfId="0" applyBorder="1" applyAlignment="1">
      <alignment horizontal="left"/>
    </xf>
    <xf numFmtId="0" fontId="0" fillId="0" borderId="6" xfId="0" applyBorder="1" applyAlignment="1">
      <alignment horizontal="left"/>
    </xf>
    <xf numFmtId="0" fontId="0" fillId="0" borderId="9" xfId="0" applyBorder="1"/>
    <xf numFmtId="0" fontId="0" fillId="0" borderId="9" xfId="0" pivotButton="1" applyBorder="1"/>
    <xf numFmtId="0" fontId="0" fillId="0" borderId="9" xfId="0" applyBorder="1" applyAlignment="1">
      <alignment horizontal="left"/>
    </xf>
    <xf numFmtId="0" fontId="0" fillId="0" borderId="10" xfId="0" applyBorder="1" applyAlignment="1">
      <alignment horizontal="left" indent="1"/>
    </xf>
    <xf numFmtId="0" fontId="0" fillId="0" borderId="11" xfId="0" applyBorder="1" applyAlignment="1">
      <alignment horizontal="left" indent="1"/>
    </xf>
    <xf numFmtId="0" fontId="0" fillId="0" borderId="12" xfId="0" applyBorder="1" applyAlignment="1">
      <alignment horizontal="left" indent="1"/>
    </xf>
    <xf numFmtId="1" fontId="0" fillId="0" borderId="10" xfId="0" applyNumberFormat="1" applyBorder="1"/>
    <xf numFmtId="1" fontId="0" fillId="0" borderId="11" xfId="0" applyNumberFormat="1" applyBorder="1"/>
    <xf numFmtId="1" fontId="0" fillId="0" borderId="12" xfId="0" applyNumberFormat="1" applyBorder="1"/>
    <xf numFmtId="0" fontId="0" fillId="0" borderId="3" xfId="0" pivotButton="1" applyBorder="1"/>
    <xf numFmtId="0" fontId="0" fillId="0" borderId="10"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1" fontId="0" fillId="0" borderId="9"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9" xfId="0" applyNumberFormat="1" applyBorder="1"/>
  </cellXfs>
  <cellStyles count="2">
    <cellStyle name="Normal" xfId="0" builtinId="0"/>
    <cellStyle name="Percent" xfId="1" builtinId="5"/>
  </cellStyles>
  <dxfs count="7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6689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PIVOT!$A$15:$A$21</c:f>
              <c:strCache>
                <c:ptCount val="6"/>
                <c:pt idx="0">
                  <c:v>Sales</c:v>
                </c:pt>
                <c:pt idx="1">
                  <c:v>Operations</c:v>
                </c:pt>
                <c:pt idx="2">
                  <c:v>Marketing</c:v>
                </c:pt>
                <c:pt idx="3">
                  <c:v>HR</c:v>
                </c:pt>
                <c:pt idx="4">
                  <c:v>IT</c:v>
                </c:pt>
                <c:pt idx="5">
                  <c:v>Finance</c:v>
                </c:pt>
              </c:strCache>
            </c:strRef>
          </c:cat>
          <c:val>
            <c:numRef>
              <c:f>PIVOT!$B$15:$B$21</c:f>
              <c:numCache>
                <c:formatCode>General</c:formatCode>
                <c:ptCount val="6"/>
                <c:pt idx="0">
                  <c:v>225</c:v>
                </c:pt>
                <c:pt idx="1">
                  <c:v>210</c:v>
                </c:pt>
                <c:pt idx="2">
                  <c:v>202</c:v>
                </c:pt>
                <c:pt idx="3">
                  <c:v>199</c:v>
                </c:pt>
                <c:pt idx="4">
                  <c:v>184</c:v>
                </c:pt>
                <c:pt idx="5">
                  <c:v>180</c:v>
                </c:pt>
              </c:numCache>
            </c:numRef>
          </c:val>
          <c:extLst>
            <c:ext xmlns:c16="http://schemas.microsoft.com/office/drawing/2014/chart" uri="{C3380CC4-5D6E-409C-BE32-E72D297353CC}">
              <c16:uniqueId val="{00000000-8C8B-4A28-80A6-1689D09C7354}"/>
            </c:ext>
          </c:extLst>
        </c:ser>
        <c:dLbls>
          <c:dLblPos val="outEnd"/>
          <c:showLegendKey val="0"/>
          <c:showVal val="1"/>
          <c:showCatName val="0"/>
          <c:showSerName val="0"/>
          <c:showPercent val="0"/>
          <c:showBubbleSize val="0"/>
        </c:dLbls>
        <c:gapWidth val="219"/>
        <c:overlap val="-27"/>
        <c:axId val="1150013488"/>
        <c:axId val="1150014448"/>
      </c:barChart>
      <c:catAx>
        <c:axId val="1150013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14448"/>
        <c:crosses val="autoZero"/>
        <c:auto val="1"/>
        <c:lblAlgn val="ctr"/>
        <c:lblOffset val="100"/>
        <c:noMultiLvlLbl val="0"/>
      </c:catAx>
      <c:valAx>
        <c:axId val="1150014448"/>
        <c:scaling>
          <c:orientation val="minMax"/>
        </c:scaling>
        <c:delete val="1"/>
        <c:axPos val="l"/>
        <c:numFmt formatCode="General" sourceLinked="1"/>
        <c:majorTickMark val="out"/>
        <c:minorTickMark val="none"/>
        <c:tickLblPos val="nextTo"/>
        <c:crossAx val="115001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PIVOT!$H$13:$H$20</c:f>
              <c:multiLvlStrCache>
                <c:ptCount val="6"/>
                <c:lvl>
                  <c:pt idx="0">
                    <c:v>Sales</c:v>
                  </c:pt>
                  <c:pt idx="1">
                    <c:v>Operations</c:v>
                  </c:pt>
                  <c:pt idx="2">
                    <c:v>Marketing</c:v>
                  </c:pt>
                  <c:pt idx="3">
                    <c:v>HR</c:v>
                  </c:pt>
                  <c:pt idx="4">
                    <c:v>IT</c:v>
                  </c:pt>
                  <c:pt idx="5">
                    <c:v>Finance</c:v>
                  </c:pt>
                </c:lvl>
                <c:lvl>
                  <c:pt idx="0">
                    <c:v>Yes</c:v>
                  </c:pt>
                </c:lvl>
              </c:multiLvlStrCache>
            </c:multiLvlStrRef>
          </c:cat>
          <c:val>
            <c:numRef>
              <c:f>PIVOT!$I$13:$I$20</c:f>
              <c:numCache>
                <c:formatCode>General</c:formatCode>
                <c:ptCount val="6"/>
                <c:pt idx="0">
                  <c:v>119</c:v>
                </c:pt>
                <c:pt idx="1">
                  <c:v>106</c:v>
                </c:pt>
                <c:pt idx="2">
                  <c:v>99</c:v>
                </c:pt>
                <c:pt idx="3">
                  <c:v>93</c:v>
                </c:pt>
                <c:pt idx="4">
                  <c:v>83</c:v>
                </c:pt>
                <c:pt idx="5">
                  <c:v>81</c:v>
                </c:pt>
              </c:numCache>
            </c:numRef>
          </c:val>
          <c:extLst>
            <c:ext xmlns:c16="http://schemas.microsoft.com/office/drawing/2014/chart" uri="{C3380CC4-5D6E-409C-BE32-E72D297353CC}">
              <c16:uniqueId val="{00000000-23A9-4977-A872-385C11FB2E61}"/>
            </c:ext>
          </c:extLst>
        </c:ser>
        <c:dLbls>
          <c:dLblPos val="outEnd"/>
          <c:showLegendKey val="0"/>
          <c:showVal val="1"/>
          <c:showCatName val="0"/>
          <c:showSerName val="0"/>
          <c:showPercent val="0"/>
          <c:showBubbleSize val="0"/>
        </c:dLbls>
        <c:gapWidth val="182"/>
        <c:axId val="2000488656"/>
        <c:axId val="2000489136"/>
      </c:barChart>
      <c:catAx>
        <c:axId val="200048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89136"/>
        <c:crosses val="autoZero"/>
        <c:auto val="1"/>
        <c:lblAlgn val="ctr"/>
        <c:lblOffset val="100"/>
        <c:noMultiLvlLbl val="0"/>
      </c:catAx>
      <c:valAx>
        <c:axId val="2000489136"/>
        <c:scaling>
          <c:orientation val="minMax"/>
        </c:scaling>
        <c:delete val="1"/>
        <c:axPos val="b"/>
        <c:numFmt formatCode="General" sourceLinked="1"/>
        <c:majorTickMark val="none"/>
        <c:minorTickMark val="none"/>
        <c:tickLblPos val="nextTo"/>
        <c:crossAx val="200048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CE-4124-BA65-9E3756FD43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CE-4124-BA65-9E3756FD43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CE-4124-BA65-9E3756FD43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CE-4124-BA65-9E3756FD43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PIVOT!$A$28:$A$31</c:f>
              <c:strCache>
                <c:ptCount val="4"/>
                <c:pt idx="0">
                  <c:v>Average</c:v>
                </c:pt>
                <c:pt idx="1">
                  <c:v>Excellent</c:v>
                </c:pt>
                <c:pt idx="2">
                  <c:v>Good</c:v>
                </c:pt>
                <c:pt idx="3">
                  <c:v>Low</c:v>
                </c:pt>
              </c:strCache>
            </c:strRef>
          </c:cat>
          <c:val>
            <c:numRef>
              <c:f>PIVOT!$B$28:$B$31</c:f>
              <c:numCache>
                <c:formatCode>General</c:formatCode>
                <c:ptCount val="4"/>
                <c:pt idx="0">
                  <c:v>292</c:v>
                </c:pt>
                <c:pt idx="1">
                  <c:v>301</c:v>
                </c:pt>
                <c:pt idx="2">
                  <c:v>314</c:v>
                </c:pt>
                <c:pt idx="3">
                  <c:v>293</c:v>
                </c:pt>
              </c:numCache>
            </c:numRef>
          </c:val>
          <c:extLst>
            <c:ext xmlns:c16="http://schemas.microsoft.com/office/drawing/2014/chart" uri="{C3380CC4-5D6E-409C-BE32-E72D297353CC}">
              <c16:uniqueId val="{00000000-E7BD-4784-B858-DFE57CE3B172}"/>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DASHBOARD.xlsx]PIVOT!PivotTable10</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PIVOT!$I$26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E0-4637-8DDC-CC818E98A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E0-4637-8DDC-CC818E98A39F}"/>
              </c:ext>
            </c:extLst>
          </c:dPt>
          <c:cat>
            <c:strRef>
              <c:f>PIVOT!$H$27:$H$28</c:f>
              <c:strCache>
                <c:ptCount val="2"/>
                <c:pt idx="0">
                  <c:v>Female</c:v>
                </c:pt>
                <c:pt idx="1">
                  <c:v>Male</c:v>
                </c:pt>
              </c:strCache>
            </c:strRef>
          </c:cat>
          <c:val>
            <c:numRef>
              <c:f>PIVOT!$I$27:$I$28</c:f>
              <c:numCache>
                <c:formatCode>General</c:formatCode>
                <c:ptCount val="2"/>
                <c:pt idx="0">
                  <c:v>595</c:v>
                </c:pt>
                <c:pt idx="1">
                  <c:v>605</c:v>
                </c:pt>
              </c:numCache>
            </c:numRef>
          </c:val>
          <c:extLst>
            <c:ext xmlns:c16="http://schemas.microsoft.com/office/drawing/2014/chart" uri="{C3380CC4-5D6E-409C-BE32-E72D297353CC}">
              <c16:uniqueId val="{00000000-114D-46C3-A15B-4CB4BF16E40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DASHBOARD.xlsx]PIVOT!PivotTable11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PIVOT!$B$42</c:f>
              <c:strCache>
                <c:ptCount val="1"/>
                <c:pt idx="0">
                  <c:v>Total</c:v>
                </c:pt>
              </c:strCache>
            </c:strRef>
          </c:tx>
          <c:spPr>
            <a:solidFill>
              <a:schemeClr val="accent1"/>
            </a:solidFill>
            <a:ln>
              <a:noFill/>
            </a:ln>
            <a:effectLst/>
          </c:spPr>
          <c:invertIfNegative val="0"/>
          <c:cat>
            <c:strRef>
              <c:f>PIVOT!$A$43:$A$48</c:f>
              <c:strCache>
                <c:ptCount val="6"/>
                <c:pt idx="0">
                  <c:v>Marketing</c:v>
                </c:pt>
                <c:pt idx="1">
                  <c:v>Operations</c:v>
                </c:pt>
                <c:pt idx="2">
                  <c:v>Sales</c:v>
                </c:pt>
                <c:pt idx="3">
                  <c:v>HR</c:v>
                </c:pt>
                <c:pt idx="4">
                  <c:v>IT</c:v>
                </c:pt>
                <c:pt idx="5">
                  <c:v>Finance</c:v>
                </c:pt>
              </c:strCache>
            </c:strRef>
          </c:cat>
          <c:val>
            <c:numRef>
              <c:f>PIVOT!$B$43:$B$48</c:f>
              <c:numCache>
                <c:formatCode>0</c:formatCode>
                <c:ptCount val="6"/>
                <c:pt idx="0">
                  <c:v>70260.985148514854</c:v>
                </c:pt>
                <c:pt idx="1">
                  <c:v>69736.876190476192</c:v>
                </c:pt>
                <c:pt idx="2">
                  <c:v>69394.64</c:v>
                </c:pt>
                <c:pt idx="3">
                  <c:v>68395.427135678387</c:v>
                </c:pt>
                <c:pt idx="4">
                  <c:v>66709.864130434784</c:v>
                </c:pt>
                <c:pt idx="5">
                  <c:v>66303.061111111107</c:v>
                </c:pt>
              </c:numCache>
            </c:numRef>
          </c:val>
          <c:extLst>
            <c:ext xmlns:c16="http://schemas.microsoft.com/office/drawing/2014/chart" uri="{C3380CC4-5D6E-409C-BE32-E72D297353CC}">
              <c16:uniqueId val="{00000000-4294-4D6D-A909-FA9D18E5BC77}"/>
            </c:ext>
          </c:extLst>
        </c:ser>
        <c:dLbls>
          <c:showLegendKey val="0"/>
          <c:showVal val="0"/>
          <c:showCatName val="0"/>
          <c:showSerName val="0"/>
          <c:showPercent val="0"/>
          <c:showBubbleSize val="0"/>
        </c:dLbls>
        <c:gapWidth val="182"/>
        <c:axId val="2000493936"/>
        <c:axId val="2000496336"/>
      </c:barChart>
      <c:catAx>
        <c:axId val="200049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96336"/>
        <c:crosses val="autoZero"/>
        <c:auto val="1"/>
        <c:lblAlgn val="ctr"/>
        <c:lblOffset val="100"/>
        <c:noMultiLvlLbl val="0"/>
      </c:catAx>
      <c:valAx>
        <c:axId val="200049633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9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DASHBOARD.xlsx]PIVOT!PivotTable12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PIVOT!$J$41:$J$42</c:f>
              <c:strCache>
                <c:ptCount val="1"/>
                <c:pt idx="0">
                  <c:v>Yes</c:v>
                </c:pt>
              </c:strCache>
            </c:strRef>
          </c:tx>
          <c:spPr>
            <a:solidFill>
              <a:schemeClr val="accent1"/>
            </a:solidFill>
            <a:ln>
              <a:noFill/>
            </a:ln>
            <a:effectLst/>
            <a:sp3d/>
          </c:spPr>
          <c:cat>
            <c:strRef>
              <c:f>PIVOT!$I$43:$I$47</c:f>
              <c:strCache>
                <c:ptCount val="5"/>
                <c:pt idx="0">
                  <c:v>1</c:v>
                </c:pt>
                <c:pt idx="1">
                  <c:v>2</c:v>
                </c:pt>
                <c:pt idx="2">
                  <c:v>3</c:v>
                </c:pt>
                <c:pt idx="3">
                  <c:v>4</c:v>
                </c:pt>
                <c:pt idx="4">
                  <c:v>5</c:v>
                </c:pt>
              </c:strCache>
            </c:strRef>
          </c:cat>
          <c:val>
            <c:numRef>
              <c:f>PIVOT!$J$43:$J$47</c:f>
              <c:numCache>
                <c:formatCode>0</c:formatCode>
                <c:ptCount val="5"/>
                <c:pt idx="0">
                  <c:v>125</c:v>
                </c:pt>
                <c:pt idx="1">
                  <c:v>111</c:v>
                </c:pt>
                <c:pt idx="2">
                  <c:v>108</c:v>
                </c:pt>
                <c:pt idx="3">
                  <c:v>122</c:v>
                </c:pt>
                <c:pt idx="4">
                  <c:v>115</c:v>
                </c:pt>
              </c:numCache>
            </c:numRef>
          </c:val>
          <c:smooth val="0"/>
          <c:extLst>
            <c:ext xmlns:c16="http://schemas.microsoft.com/office/drawing/2014/chart" uri="{C3380CC4-5D6E-409C-BE32-E72D297353CC}">
              <c16:uniqueId val="{00000000-B31A-4853-9205-9803AC41497B}"/>
            </c:ext>
          </c:extLst>
        </c:ser>
        <c:dLbls>
          <c:showLegendKey val="0"/>
          <c:showVal val="0"/>
          <c:showCatName val="0"/>
          <c:showSerName val="0"/>
          <c:showPercent val="0"/>
          <c:showBubbleSize val="0"/>
        </c:dLbls>
        <c:axId val="949741920"/>
        <c:axId val="949743840"/>
        <c:axId val="225045888"/>
      </c:line3DChart>
      <c:catAx>
        <c:axId val="949741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743840"/>
        <c:crosses val="autoZero"/>
        <c:auto val="1"/>
        <c:lblAlgn val="ctr"/>
        <c:lblOffset val="100"/>
        <c:noMultiLvlLbl val="0"/>
      </c:catAx>
      <c:valAx>
        <c:axId val="949743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741920"/>
        <c:crosses val="autoZero"/>
        <c:crossBetween val="between"/>
      </c:valAx>
      <c:serAx>
        <c:axId val="22504588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7438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EMPLOYEE</a:t>
            </a:r>
            <a:r>
              <a:rPr lang="en-IN" sz="1600" b="1" baseline="0">
                <a:solidFill>
                  <a:schemeClr val="tx1"/>
                </a:solidFill>
              </a:rPr>
              <a:t> BY DEPARTMENT</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chemeClr val="accent2"/>
          </a:solidFill>
          <a:ln>
            <a:noFill/>
          </a:ln>
          <a:effectLst/>
        </c:spPr>
      </c:pivotFmt>
      <c:pivotFmt>
        <c:idx val="5"/>
        <c:spPr>
          <a:solidFill>
            <a:srgbClr val="00B050"/>
          </a:solidFill>
          <a:ln>
            <a:noFill/>
          </a:ln>
          <a:effectLst/>
        </c:spPr>
      </c:pivotFmt>
      <c:pivotFmt>
        <c:idx val="6"/>
        <c:spPr>
          <a:solidFill>
            <a:schemeClr val="accent5">
              <a:lumMod val="60000"/>
              <a:lumOff val="40000"/>
            </a:schemeClr>
          </a:solidFill>
          <a:ln>
            <a:noFill/>
          </a:ln>
          <a:effectLst/>
        </c:spPr>
      </c:pivotFmt>
      <c:pivotFmt>
        <c:idx val="7"/>
        <c:spPr>
          <a:solidFill>
            <a:srgbClr val="FF0000"/>
          </a:solidFill>
          <a:ln>
            <a:noFill/>
          </a:ln>
          <a:effectLst/>
        </c:spPr>
      </c:pivotFmt>
      <c:pivotFmt>
        <c:idx val="8"/>
        <c:spPr>
          <a:solidFill>
            <a:srgbClr val="FFFF00"/>
          </a:solidFill>
          <a:ln>
            <a:noFill/>
          </a:ln>
          <a:effectLst/>
        </c:spPr>
      </c:pivotFmt>
    </c:pivotFmts>
    <c:plotArea>
      <c:layout/>
      <c:barChart>
        <c:barDir val="col"/>
        <c:grouping val="clustered"/>
        <c:varyColors val="0"/>
        <c:ser>
          <c:idx val="0"/>
          <c:order val="0"/>
          <c:tx>
            <c:strRef>
              <c:f>PIVOT!$B$14</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A61B-4A35-A9B0-A4D2F370634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A61B-4A35-A9B0-A4D2F3706345}"/>
              </c:ext>
            </c:extLst>
          </c:dPt>
          <c:dPt>
            <c:idx val="2"/>
            <c:invertIfNegative val="0"/>
            <c:bubble3D val="0"/>
            <c:spPr>
              <a:solidFill>
                <a:srgbClr val="00B050"/>
              </a:solidFill>
              <a:ln>
                <a:noFill/>
              </a:ln>
              <a:effectLst/>
            </c:spPr>
            <c:extLst>
              <c:ext xmlns:c16="http://schemas.microsoft.com/office/drawing/2014/chart" uri="{C3380CC4-5D6E-409C-BE32-E72D297353CC}">
                <c16:uniqueId val="{00000003-A61B-4A35-A9B0-A4D2F3706345}"/>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A61B-4A35-A9B0-A4D2F3706345}"/>
              </c:ext>
            </c:extLst>
          </c:dPt>
          <c:dPt>
            <c:idx val="4"/>
            <c:invertIfNegative val="0"/>
            <c:bubble3D val="0"/>
            <c:spPr>
              <a:solidFill>
                <a:srgbClr val="FF0000"/>
              </a:solidFill>
              <a:ln>
                <a:noFill/>
              </a:ln>
              <a:effectLst/>
            </c:spPr>
            <c:extLst>
              <c:ext xmlns:c16="http://schemas.microsoft.com/office/drawing/2014/chart" uri="{C3380CC4-5D6E-409C-BE32-E72D297353CC}">
                <c16:uniqueId val="{00000005-A61B-4A35-A9B0-A4D2F3706345}"/>
              </c:ext>
            </c:extLst>
          </c:dPt>
          <c:dPt>
            <c:idx val="5"/>
            <c:invertIfNegative val="0"/>
            <c:bubble3D val="0"/>
            <c:spPr>
              <a:solidFill>
                <a:srgbClr val="FFFF00"/>
              </a:solidFill>
              <a:ln>
                <a:noFill/>
              </a:ln>
              <a:effectLst/>
            </c:spPr>
            <c:extLst>
              <c:ext xmlns:c16="http://schemas.microsoft.com/office/drawing/2014/chart" uri="{C3380CC4-5D6E-409C-BE32-E72D297353CC}">
                <c16:uniqueId val="{00000006-A61B-4A35-A9B0-A4D2F370634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PIVOT!$A$15:$A$21</c:f>
              <c:strCache>
                <c:ptCount val="6"/>
                <c:pt idx="0">
                  <c:v>Sales</c:v>
                </c:pt>
                <c:pt idx="1">
                  <c:v>Operations</c:v>
                </c:pt>
                <c:pt idx="2">
                  <c:v>Marketing</c:v>
                </c:pt>
                <c:pt idx="3">
                  <c:v>HR</c:v>
                </c:pt>
                <c:pt idx="4">
                  <c:v>IT</c:v>
                </c:pt>
                <c:pt idx="5">
                  <c:v>Finance</c:v>
                </c:pt>
              </c:strCache>
            </c:strRef>
          </c:cat>
          <c:val>
            <c:numRef>
              <c:f>PIVOT!$B$15:$B$21</c:f>
              <c:numCache>
                <c:formatCode>General</c:formatCode>
                <c:ptCount val="6"/>
                <c:pt idx="0">
                  <c:v>225</c:v>
                </c:pt>
                <c:pt idx="1">
                  <c:v>210</c:v>
                </c:pt>
                <c:pt idx="2">
                  <c:v>202</c:v>
                </c:pt>
                <c:pt idx="3">
                  <c:v>199</c:v>
                </c:pt>
                <c:pt idx="4">
                  <c:v>184</c:v>
                </c:pt>
                <c:pt idx="5">
                  <c:v>180</c:v>
                </c:pt>
              </c:numCache>
            </c:numRef>
          </c:val>
          <c:extLst>
            <c:ext xmlns:c16="http://schemas.microsoft.com/office/drawing/2014/chart" uri="{C3380CC4-5D6E-409C-BE32-E72D297353CC}">
              <c16:uniqueId val="{00000000-A61B-4A35-A9B0-A4D2F3706345}"/>
            </c:ext>
          </c:extLst>
        </c:ser>
        <c:dLbls>
          <c:dLblPos val="outEnd"/>
          <c:showLegendKey val="0"/>
          <c:showVal val="1"/>
          <c:showCatName val="0"/>
          <c:showSerName val="0"/>
          <c:showPercent val="0"/>
          <c:showBubbleSize val="0"/>
        </c:dLbls>
        <c:gapWidth val="219"/>
        <c:overlap val="-27"/>
        <c:axId val="1150013488"/>
        <c:axId val="1150014448"/>
      </c:barChart>
      <c:catAx>
        <c:axId val="1150013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0014448"/>
        <c:crosses val="autoZero"/>
        <c:auto val="1"/>
        <c:lblAlgn val="ctr"/>
        <c:lblOffset val="100"/>
        <c:noMultiLvlLbl val="0"/>
      </c:catAx>
      <c:valAx>
        <c:axId val="1150014448"/>
        <c:scaling>
          <c:orientation val="minMax"/>
        </c:scaling>
        <c:delete val="1"/>
        <c:axPos val="l"/>
        <c:numFmt formatCode="General" sourceLinked="1"/>
        <c:majorTickMark val="out"/>
        <c:minorTickMark val="none"/>
        <c:tickLblPos val="nextTo"/>
        <c:crossAx val="115001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DASHBOARD.xlsx]PIVOT!PivotTable8</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t>ATTRITION</a:t>
            </a:r>
            <a:r>
              <a:rPr lang="en-US" sz="1600" b="1" baseline="0"/>
              <a:t> BY DEPARTMENT</a:t>
            </a:r>
            <a:endParaRPr lang="en-US" sz="1600"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pivotFmt>
      <c:pivotFmt>
        <c:idx val="9"/>
        <c:spPr>
          <a:solidFill>
            <a:schemeClr val="accent2"/>
          </a:solidFill>
          <a:ln>
            <a:noFill/>
          </a:ln>
          <a:effectLst/>
        </c:spPr>
      </c:pivotFmt>
      <c:pivotFmt>
        <c:idx val="10"/>
        <c:spPr>
          <a:solidFill>
            <a:srgbClr val="00B050"/>
          </a:solidFill>
          <a:ln>
            <a:noFill/>
          </a:ln>
          <a:effectLst/>
        </c:spPr>
      </c:pivotFmt>
      <c:pivotFmt>
        <c:idx val="11"/>
        <c:spPr>
          <a:solidFill>
            <a:schemeClr val="accent5">
              <a:lumMod val="60000"/>
              <a:lumOff val="40000"/>
            </a:schemeClr>
          </a:solidFill>
          <a:ln>
            <a:noFill/>
          </a:ln>
          <a:effectLst/>
        </c:spPr>
      </c:pivotFmt>
      <c:pivotFmt>
        <c:idx val="12"/>
        <c:spPr>
          <a:solidFill>
            <a:srgbClr val="FF0000"/>
          </a:solidFill>
          <a:ln>
            <a:noFill/>
          </a:ln>
          <a:effectLst/>
        </c:spPr>
      </c:pivotFmt>
      <c:pivotFmt>
        <c:idx val="13"/>
        <c:spPr>
          <a:solidFill>
            <a:srgbClr val="FFFF00"/>
          </a:solidFill>
          <a:ln>
            <a:noFill/>
          </a:ln>
          <a:effectLst/>
        </c:spPr>
      </c:pivotFmt>
    </c:pivotFmts>
    <c:plotArea>
      <c:layout>
        <c:manualLayout>
          <c:layoutTarget val="inner"/>
          <c:xMode val="edge"/>
          <c:yMode val="edge"/>
          <c:x val="0.26694643033637533"/>
          <c:y val="0.22457107843137253"/>
          <c:w val="0.73305356966362467"/>
          <c:h val="0.70802696078431371"/>
        </c:manualLayout>
      </c:layout>
      <c:barChart>
        <c:barDir val="bar"/>
        <c:grouping val="clustered"/>
        <c:varyColors val="0"/>
        <c:ser>
          <c:idx val="0"/>
          <c:order val="0"/>
          <c:tx>
            <c:strRef>
              <c:f>PIVOT!$I$12</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6-FBCE-4D0C-B96C-61F8C0DCFBAD}"/>
              </c:ext>
            </c:extLst>
          </c:dPt>
          <c:dPt>
            <c:idx val="1"/>
            <c:invertIfNegative val="0"/>
            <c:bubble3D val="0"/>
            <c:spPr>
              <a:solidFill>
                <a:srgbClr val="FF0000"/>
              </a:solidFill>
              <a:ln>
                <a:noFill/>
              </a:ln>
              <a:effectLst/>
            </c:spPr>
            <c:extLst>
              <c:ext xmlns:c16="http://schemas.microsoft.com/office/drawing/2014/chart" uri="{C3380CC4-5D6E-409C-BE32-E72D297353CC}">
                <c16:uniqueId val="{00000005-FBCE-4D0C-B96C-61F8C0DCFBA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FBCE-4D0C-B96C-61F8C0DCFBAD}"/>
              </c:ext>
            </c:extLst>
          </c:dPt>
          <c:dPt>
            <c:idx val="3"/>
            <c:invertIfNegative val="0"/>
            <c:bubble3D val="0"/>
            <c:spPr>
              <a:solidFill>
                <a:srgbClr val="00B050"/>
              </a:solidFill>
              <a:ln>
                <a:noFill/>
              </a:ln>
              <a:effectLst/>
            </c:spPr>
            <c:extLst>
              <c:ext xmlns:c16="http://schemas.microsoft.com/office/drawing/2014/chart" uri="{C3380CC4-5D6E-409C-BE32-E72D297353CC}">
                <c16:uniqueId val="{00000003-FBCE-4D0C-B96C-61F8C0DCFBAD}"/>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2-FBCE-4D0C-B96C-61F8C0DCFBAD}"/>
              </c:ext>
            </c:extLst>
          </c:dPt>
          <c:dPt>
            <c:idx val="5"/>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FBCE-4D0C-B96C-61F8C0DCFBAD}"/>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PIVOT!$H$13:$H$20</c:f>
              <c:multiLvlStrCache>
                <c:ptCount val="6"/>
                <c:lvl>
                  <c:pt idx="0">
                    <c:v>Sales</c:v>
                  </c:pt>
                  <c:pt idx="1">
                    <c:v>Operations</c:v>
                  </c:pt>
                  <c:pt idx="2">
                    <c:v>Marketing</c:v>
                  </c:pt>
                  <c:pt idx="3">
                    <c:v>HR</c:v>
                  </c:pt>
                  <c:pt idx="4">
                    <c:v>IT</c:v>
                  </c:pt>
                  <c:pt idx="5">
                    <c:v>Finance</c:v>
                  </c:pt>
                </c:lvl>
                <c:lvl>
                  <c:pt idx="0">
                    <c:v>Yes</c:v>
                  </c:pt>
                </c:lvl>
              </c:multiLvlStrCache>
            </c:multiLvlStrRef>
          </c:cat>
          <c:val>
            <c:numRef>
              <c:f>PIVOT!$I$13:$I$20</c:f>
              <c:numCache>
                <c:formatCode>General</c:formatCode>
                <c:ptCount val="6"/>
                <c:pt idx="0">
                  <c:v>119</c:v>
                </c:pt>
                <c:pt idx="1">
                  <c:v>106</c:v>
                </c:pt>
                <c:pt idx="2">
                  <c:v>99</c:v>
                </c:pt>
                <c:pt idx="3">
                  <c:v>93</c:v>
                </c:pt>
                <c:pt idx="4">
                  <c:v>83</c:v>
                </c:pt>
                <c:pt idx="5">
                  <c:v>81</c:v>
                </c:pt>
              </c:numCache>
            </c:numRef>
          </c:val>
          <c:extLst>
            <c:ext xmlns:c16="http://schemas.microsoft.com/office/drawing/2014/chart" uri="{C3380CC4-5D6E-409C-BE32-E72D297353CC}">
              <c16:uniqueId val="{00000000-FBCE-4D0C-B96C-61F8C0DCFBAD}"/>
            </c:ext>
          </c:extLst>
        </c:ser>
        <c:dLbls>
          <c:dLblPos val="outEnd"/>
          <c:showLegendKey val="0"/>
          <c:showVal val="1"/>
          <c:showCatName val="0"/>
          <c:showSerName val="0"/>
          <c:showPercent val="0"/>
          <c:showBubbleSize val="0"/>
        </c:dLbls>
        <c:gapWidth val="182"/>
        <c:axId val="2000488656"/>
        <c:axId val="2000489136"/>
      </c:barChart>
      <c:catAx>
        <c:axId val="200048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00489136"/>
        <c:crosses val="autoZero"/>
        <c:auto val="1"/>
        <c:lblAlgn val="ctr"/>
        <c:lblOffset val="100"/>
        <c:noMultiLvlLbl val="0"/>
      </c:catAx>
      <c:valAx>
        <c:axId val="2000489136"/>
        <c:scaling>
          <c:orientation val="minMax"/>
        </c:scaling>
        <c:delete val="1"/>
        <c:axPos val="b"/>
        <c:numFmt formatCode="General" sourceLinked="1"/>
        <c:majorTickMark val="none"/>
        <c:minorTickMark val="none"/>
        <c:tickLblPos val="nextTo"/>
        <c:crossAx val="200048865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DASHBOARD.xlsx]PIVOT!PivotTable9</c:name>
    <c:fmtId val="1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solidFill>
                  <a:schemeClr val="tx1"/>
                </a:solidFill>
              </a:rPr>
              <a:t>PERFOMANCE</a:t>
            </a:r>
            <a:r>
              <a:rPr lang="en-US" sz="1600" b="1" baseline="0">
                <a:solidFill>
                  <a:schemeClr val="tx1"/>
                </a:solidFill>
              </a:rPr>
              <a:t> RATING</a:t>
            </a:r>
            <a:endParaRPr lang="en-US" sz="1600" b="1">
              <a:solidFill>
                <a:schemeClr val="tx1"/>
              </a:solidFill>
            </a:endParaRPr>
          </a:p>
        </c:rich>
      </c:tx>
      <c:layout>
        <c:manualLayout>
          <c:xMode val="edge"/>
          <c:yMode val="edge"/>
          <c:x val="0.26583679114799447"/>
          <c:y val="3.5714285714285712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lumMod val="60000"/>
              <a:lumOff val="40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chemeClr val="tx2">
              <a:lumMod val="50000"/>
              <a:lumOff val="50000"/>
            </a:schemeClr>
          </a:solidFill>
          <a:ln w="19050">
            <a:solidFill>
              <a:schemeClr val="lt1"/>
            </a:solidFill>
          </a:ln>
          <a:effectLst/>
        </c:spPr>
      </c:pivotFmt>
      <c:pivotFmt>
        <c:idx val="10"/>
        <c:spPr>
          <a:solidFill>
            <a:srgbClr val="FF0000"/>
          </a:solidFill>
          <a:ln w="19050">
            <a:solidFill>
              <a:schemeClr val="lt1"/>
            </a:solidFill>
          </a:ln>
          <a:effectLst/>
        </c:spPr>
      </c:pivotFmt>
    </c:pivotFmts>
    <c:plotArea>
      <c:layout/>
      <c:doughnutChart>
        <c:varyColors val="1"/>
        <c:ser>
          <c:idx val="0"/>
          <c:order val="0"/>
          <c:tx>
            <c:strRef>
              <c:f>PIVOT!$B$27</c:f>
              <c:strCache>
                <c:ptCount val="1"/>
                <c:pt idx="0">
                  <c:v>Total</c:v>
                </c:pt>
              </c:strCache>
            </c:strRef>
          </c:tx>
          <c:spPr>
            <a:solidFill>
              <a:schemeClr val="accent3">
                <a:lumMod val="60000"/>
                <a:lumOff val="40000"/>
              </a:schemeClr>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DE5-48E1-B817-06FFF0997B8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8DE5-48E1-B817-06FFF0997B82}"/>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8DE5-48E1-B817-06FFF0997B82}"/>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8DE5-48E1-B817-06FFF0997B82}"/>
              </c:ext>
            </c:extLst>
          </c:dPt>
          <c:dLbls>
            <c:numFmt formatCode="General"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PIVOT!$A$28:$A$31</c:f>
              <c:strCache>
                <c:ptCount val="4"/>
                <c:pt idx="0">
                  <c:v>Average</c:v>
                </c:pt>
                <c:pt idx="1">
                  <c:v>Excellent</c:v>
                </c:pt>
                <c:pt idx="2">
                  <c:v>Good</c:v>
                </c:pt>
                <c:pt idx="3">
                  <c:v>Low</c:v>
                </c:pt>
              </c:strCache>
            </c:strRef>
          </c:cat>
          <c:val>
            <c:numRef>
              <c:f>PIVOT!$B$28:$B$31</c:f>
              <c:numCache>
                <c:formatCode>General</c:formatCode>
                <c:ptCount val="4"/>
                <c:pt idx="0">
                  <c:v>292</c:v>
                </c:pt>
                <c:pt idx="1">
                  <c:v>301</c:v>
                </c:pt>
                <c:pt idx="2">
                  <c:v>314</c:v>
                </c:pt>
                <c:pt idx="3">
                  <c:v>293</c:v>
                </c:pt>
              </c:numCache>
            </c:numRef>
          </c:val>
          <c:extLst>
            <c:ext xmlns:c16="http://schemas.microsoft.com/office/drawing/2014/chart" uri="{C3380CC4-5D6E-409C-BE32-E72D297353CC}">
              <c16:uniqueId val="{00000008-8DE5-48E1-B817-06FFF0997B82}"/>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GENDER</a:t>
            </a:r>
            <a:r>
              <a:rPr lang="en-US" b="1" baseline="0">
                <a:solidFill>
                  <a:schemeClr val="tx1"/>
                </a:solidFill>
              </a:rPr>
              <a:t>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60000"/>
              <a:lumOff val="40000"/>
            </a:schemeClr>
          </a:solidFill>
          <a:ln w="25400">
            <a:solidFill>
              <a:schemeClr val="lt1"/>
            </a:solidFill>
          </a:ln>
          <a:effectLst/>
          <a:sp3d contourW="25400">
            <a:contourClr>
              <a:schemeClr val="lt1"/>
            </a:contourClr>
          </a:sp3d>
        </c:spPr>
      </c:pivotFmt>
      <c:pivotFmt>
        <c:idx val="6"/>
        <c:spPr>
          <a:solidFill>
            <a:schemeClr val="accent4">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8559688659607202"/>
          <c:w val="1"/>
          <c:h val="0.57220427187980816"/>
        </c:manualLayout>
      </c:layout>
      <c:pie3DChart>
        <c:varyColors val="1"/>
        <c:ser>
          <c:idx val="0"/>
          <c:order val="0"/>
          <c:tx>
            <c:strRef>
              <c:f>PIVOT!$I$26</c:f>
              <c:strCache>
                <c:ptCount val="1"/>
                <c:pt idx="0">
                  <c:v>Total</c:v>
                </c:pt>
              </c:strCache>
            </c:strRef>
          </c:tx>
          <c:dPt>
            <c:idx val="0"/>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36-4167-BC5C-5A4D73E2B4B4}"/>
              </c:ext>
            </c:extLst>
          </c:dPt>
          <c:dPt>
            <c:idx val="1"/>
            <c:bubble3D val="0"/>
            <c:spPr>
              <a:solidFill>
                <a:schemeClr val="accent4">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36-4167-BC5C-5A4D73E2B4B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PIVOT!$H$27:$H$28</c:f>
              <c:strCache>
                <c:ptCount val="2"/>
                <c:pt idx="0">
                  <c:v>Female</c:v>
                </c:pt>
                <c:pt idx="1">
                  <c:v>Male</c:v>
                </c:pt>
              </c:strCache>
            </c:strRef>
          </c:cat>
          <c:val>
            <c:numRef>
              <c:f>PIVOT!$I$27:$I$28</c:f>
              <c:numCache>
                <c:formatCode>General</c:formatCode>
                <c:ptCount val="2"/>
                <c:pt idx="0">
                  <c:v>595</c:v>
                </c:pt>
                <c:pt idx="1">
                  <c:v>605</c:v>
                </c:pt>
              </c:numCache>
            </c:numRef>
          </c:val>
          <c:extLst>
            <c:ext xmlns:c16="http://schemas.microsoft.com/office/drawing/2014/chart" uri="{C3380CC4-5D6E-409C-BE32-E72D297353CC}">
              <c16:uniqueId val="{00000004-1D36-4167-BC5C-5A4D73E2B4B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DASHBOARD.xlsx]PIVOT!PivotTable11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AVG</a:t>
            </a:r>
            <a:r>
              <a:rPr lang="en-US" b="1" baseline="0">
                <a:solidFill>
                  <a:schemeClr val="tx1"/>
                </a:solidFill>
              </a:rPr>
              <a:t> SALARY BY JOB ROLE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rgbClr val="FF0000"/>
          </a:solidFill>
          <a:ln>
            <a:noFill/>
          </a:ln>
          <a:effectLst/>
        </c:spPr>
      </c:pivotFmt>
      <c:pivotFmt>
        <c:idx val="7"/>
        <c:spPr>
          <a:solidFill>
            <a:srgbClr val="FFFF00"/>
          </a:solidFill>
          <a:ln>
            <a:noFill/>
          </a:ln>
          <a:effectLst/>
        </c:spPr>
      </c:pivotFmt>
    </c:pivotFmts>
    <c:plotArea>
      <c:layout>
        <c:manualLayout>
          <c:layoutTarget val="inner"/>
          <c:xMode val="edge"/>
          <c:yMode val="edge"/>
          <c:x val="0.21735990475417377"/>
          <c:y val="0.17171296296296298"/>
          <c:w val="0.72041778282869284"/>
          <c:h val="0.79160445853359229"/>
        </c:manualLayout>
      </c:layout>
      <c:barChart>
        <c:barDir val="bar"/>
        <c:grouping val="clustered"/>
        <c:varyColors val="0"/>
        <c:ser>
          <c:idx val="0"/>
          <c:order val="0"/>
          <c:tx>
            <c:strRef>
              <c:f>PIVOT!$B$42</c:f>
              <c:strCache>
                <c:ptCount val="1"/>
                <c:pt idx="0">
                  <c:v>Total</c:v>
                </c:pt>
              </c:strCache>
            </c:strRef>
          </c:tx>
          <c:spPr>
            <a:solidFill>
              <a:schemeClr val="accent4">
                <a:lumMod val="60000"/>
                <a:lumOff val="40000"/>
              </a:schemeClr>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E23E-4578-A6EA-7641FD2FDE8C}"/>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4-E23E-4578-A6EA-7641FD2FDE8C}"/>
              </c:ext>
            </c:extLst>
          </c:dPt>
          <c:dPt>
            <c:idx val="3"/>
            <c:invertIfNegative val="0"/>
            <c:bubble3D val="0"/>
            <c:spPr>
              <a:solidFill>
                <a:srgbClr val="FF0000"/>
              </a:solidFill>
              <a:ln>
                <a:noFill/>
              </a:ln>
              <a:effectLst/>
            </c:spPr>
            <c:extLst>
              <c:ext xmlns:c16="http://schemas.microsoft.com/office/drawing/2014/chart" uri="{C3380CC4-5D6E-409C-BE32-E72D297353CC}">
                <c16:uniqueId val="{00000002-E23E-4578-A6EA-7641FD2FDE8C}"/>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E23E-4578-A6EA-7641FD2FDE8C}"/>
              </c:ext>
            </c:extLst>
          </c:dPt>
          <c:dPt>
            <c:idx val="5"/>
            <c:invertIfNegative val="0"/>
            <c:bubble3D val="0"/>
            <c:spPr>
              <a:solidFill>
                <a:srgbClr val="FFFF00"/>
              </a:solidFill>
              <a:ln>
                <a:noFill/>
              </a:ln>
              <a:effectLst/>
            </c:spPr>
            <c:extLst>
              <c:ext xmlns:c16="http://schemas.microsoft.com/office/drawing/2014/chart" uri="{C3380CC4-5D6E-409C-BE32-E72D297353CC}">
                <c16:uniqueId val="{00000009-BF8E-418E-B859-9AF7C8DE79EC}"/>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PIVOT!$A$43:$A$48</c:f>
              <c:strCache>
                <c:ptCount val="6"/>
                <c:pt idx="0">
                  <c:v>Marketing</c:v>
                </c:pt>
                <c:pt idx="1">
                  <c:v>Operations</c:v>
                </c:pt>
                <c:pt idx="2">
                  <c:v>Sales</c:v>
                </c:pt>
                <c:pt idx="3">
                  <c:v>HR</c:v>
                </c:pt>
                <c:pt idx="4">
                  <c:v>IT</c:v>
                </c:pt>
                <c:pt idx="5">
                  <c:v>Finance</c:v>
                </c:pt>
              </c:strCache>
            </c:strRef>
          </c:cat>
          <c:val>
            <c:numRef>
              <c:f>PIVOT!$B$43:$B$48</c:f>
              <c:numCache>
                <c:formatCode>0</c:formatCode>
                <c:ptCount val="6"/>
                <c:pt idx="0">
                  <c:v>70260.985148514854</c:v>
                </c:pt>
                <c:pt idx="1">
                  <c:v>69736.876190476192</c:v>
                </c:pt>
                <c:pt idx="2">
                  <c:v>69394.64</c:v>
                </c:pt>
                <c:pt idx="3">
                  <c:v>68395.427135678387</c:v>
                </c:pt>
                <c:pt idx="4">
                  <c:v>66709.864130434784</c:v>
                </c:pt>
                <c:pt idx="5">
                  <c:v>66303.061111111107</c:v>
                </c:pt>
              </c:numCache>
            </c:numRef>
          </c:val>
          <c:extLst>
            <c:ext xmlns:c16="http://schemas.microsoft.com/office/drawing/2014/chart" uri="{C3380CC4-5D6E-409C-BE32-E72D297353CC}">
              <c16:uniqueId val="{00000000-E23E-4578-A6EA-7641FD2FDE8C}"/>
            </c:ext>
          </c:extLst>
        </c:ser>
        <c:dLbls>
          <c:dLblPos val="outEnd"/>
          <c:showLegendKey val="0"/>
          <c:showVal val="1"/>
          <c:showCatName val="0"/>
          <c:showSerName val="0"/>
          <c:showPercent val="0"/>
          <c:showBubbleSize val="0"/>
        </c:dLbls>
        <c:gapWidth val="182"/>
        <c:axId val="2000493936"/>
        <c:axId val="2000496336"/>
      </c:barChart>
      <c:catAx>
        <c:axId val="200049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00496336"/>
        <c:crosses val="autoZero"/>
        <c:auto val="1"/>
        <c:lblAlgn val="ctr"/>
        <c:lblOffset val="100"/>
        <c:noMultiLvlLbl val="0"/>
      </c:catAx>
      <c:valAx>
        <c:axId val="2000496336"/>
        <c:scaling>
          <c:orientation val="minMax"/>
        </c:scaling>
        <c:delete val="1"/>
        <c:axPos val="b"/>
        <c:numFmt formatCode="0" sourceLinked="1"/>
        <c:majorTickMark val="none"/>
        <c:minorTickMark val="none"/>
        <c:tickLblPos val="nextTo"/>
        <c:crossAx val="200049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ANALATIC DASHBOARD.xlsx]PIVOT!PivotTable12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a:t>
            </a:r>
            <a:r>
              <a:rPr lang="en-US" b="1" baseline="0">
                <a:solidFill>
                  <a:schemeClr val="tx1"/>
                </a:solidFill>
              </a:rPr>
              <a:t> VS JOB SATISFACTION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364261168384879E-3"/>
              <c:y val="-0.211038961038961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3.7878787878787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0004176891711E-17"/>
              <c:y val="-5.9523809523809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745704467353952E-2"/>
              <c:y val="-4.32900432900432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00687285223365E-2"/>
          <c:y val="0.20070346320346322"/>
          <c:w val="0.92439862542955331"/>
          <c:h val="0.56056132188021957"/>
        </c:manualLayout>
      </c:layout>
      <c:lineChart>
        <c:grouping val="stacked"/>
        <c:varyColors val="0"/>
        <c:ser>
          <c:idx val="0"/>
          <c:order val="0"/>
          <c:tx>
            <c:strRef>
              <c:f>PIVOT!$J$41:$J$42</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D6A3-4B11-9F5C-89D9770A9D28}"/>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D6A3-4B11-9F5C-89D9770A9D28}"/>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D6A3-4B11-9F5C-89D9770A9D28}"/>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D6A3-4B11-9F5C-89D9770A9D28}"/>
              </c:ext>
            </c:extLst>
          </c:dPt>
          <c:dLbls>
            <c:dLbl>
              <c:idx val="0"/>
              <c:layout>
                <c:manualLayout>
                  <c:x val="1.3745704467353952E-2"/>
                  <c:y val="-4.32900432900432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A3-4B11-9F5C-89D9770A9D28}"/>
                </c:ext>
              </c:extLst>
            </c:dLbl>
            <c:dLbl>
              <c:idx val="1"/>
              <c:layout>
                <c:manualLayout>
                  <c:x val="-6.30004176891711E-17"/>
                  <c:y val="-5.9523809523809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A3-4B11-9F5C-89D9770A9D28}"/>
                </c:ext>
              </c:extLst>
            </c:dLbl>
            <c:dLbl>
              <c:idx val="2"/>
              <c:layout>
                <c:manualLayout>
                  <c:x val="3.4364261168384879E-3"/>
                  <c:y val="-0.211038961038961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A3-4B11-9F5C-89D9770A9D28}"/>
                </c:ext>
              </c:extLst>
            </c:dLbl>
            <c:dLbl>
              <c:idx val="3"/>
              <c:layout>
                <c:manualLayout>
                  <c:x val="0"/>
                  <c:y val="-3.7878787878787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A3-4B11-9F5C-89D9770A9D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PIVOT!$I$43:$I$47</c:f>
              <c:strCache>
                <c:ptCount val="5"/>
                <c:pt idx="0">
                  <c:v>1</c:v>
                </c:pt>
                <c:pt idx="1">
                  <c:v>2</c:v>
                </c:pt>
                <c:pt idx="2">
                  <c:v>3</c:v>
                </c:pt>
                <c:pt idx="3">
                  <c:v>4</c:v>
                </c:pt>
                <c:pt idx="4">
                  <c:v>5</c:v>
                </c:pt>
              </c:strCache>
            </c:strRef>
          </c:cat>
          <c:val>
            <c:numRef>
              <c:f>PIVOT!$J$43:$J$47</c:f>
              <c:numCache>
                <c:formatCode>0</c:formatCode>
                <c:ptCount val="5"/>
                <c:pt idx="0">
                  <c:v>125</c:v>
                </c:pt>
                <c:pt idx="1">
                  <c:v>111</c:v>
                </c:pt>
                <c:pt idx="2">
                  <c:v>108</c:v>
                </c:pt>
                <c:pt idx="3">
                  <c:v>122</c:v>
                </c:pt>
                <c:pt idx="4">
                  <c:v>115</c:v>
                </c:pt>
              </c:numCache>
            </c:numRef>
          </c:val>
          <c:smooth val="0"/>
          <c:extLst>
            <c:ext xmlns:c16="http://schemas.microsoft.com/office/drawing/2014/chart" uri="{C3380CC4-5D6E-409C-BE32-E72D297353CC}">
              <c16:uniqueId val="{00000000-D6A3-4B11-9F5C-89D9770A9D28}"/>
            </c:ext>
          </c:extLst>
        </c:ser>
        <c:dLbls>
          <c:showLegendKey val="0"/>
          <c:showVal val="1"/>
          <c:showCatName val="0"/>
          <c:showSerName val="0"/>
          <c:showPercent val="0"/>
          <c:showBubbleSize val="0"/>
        </c:dLbls>
        <c:marker val="1"/>
        <c:smooth val="0"/>
        <c:axId val="949741920"/>
        <c:axId val="949743840"/>
      </c:lineChart>
      <c:catAx>
        <c:axId val="949741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9743840"/>
        <c:crosses val="autoZero"/>
        <c:auto val="1"/>
        <c:lblAlgn val="ctr"/>
        <c:lblOffset val="100"/>
        <c:noMultiLvlLbl val="0"/>
      </c:catAx>
      <c:valAx>
        <c:axId val="949743840"/>
        <c:scaling>
          <c:orientation val="minMax"/>
        </c:scaling>
        <c:delete val="1"/>
        <c:axPos val="l"/>
        <c:numFmt formatCode="0" sourceLinked="1"/>
        <c:majorTickMark val="none"/>
        <c:minorTickMark val="none"/>
        <c:tickLblPos val="nextTo"/>
        <c:crossAx val="94974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53340</xdr:colOff>
      <xdr:row>13</xdr:row>
      <xdr:rowOff>60960</xdr:rowOff>
    </xdr:from>
    <xdr:to>
      <xdr:col>5</xdr:col>
      <xdr:colOff>609600</xdr:colOff>
      <xdr:row>22</xdr:row>
      <xdr:rowOff>99060</xdr:rowOff>
    </xdr:to>
    <xdr:graphicFrame macro="">
      <xdr:nvGraphicFramePr>
        <xdr:cNvPr id="2" name="Chart 1">
          <a:extLst>
            <a:ext uri="{FF2B5EF4-FFF2-40B4-BE49-F238E27FC236}">
              <a16:creationId xmlns:a16="http://schemas.microsoft.com/office/drawing/2014/main" id="{B6271180-D4B4-99DF-6346-6DAF85B55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198120</xdr:colOff>
      <xdr:row>11</xdr:row>
      <xdr:rowOff>99060</xdr:rowOff>
    </xdr:from>
    <xdr:to>
      <xdr:col>15</xdr:col>
      <xdr:colOff>289560</xdr:colOff>
      <xdr:row>20</xdr:row>
      <xdr:rowOff>160020</xdr:rowOff>
    </xdr:to>
    <xdr:graphicFrame macro="">
      <xdr:nvGraphicFramePr>
        <xdr:cNvPr id="3" name="Chart 2">
          <a:extLst>
            <a:ext uri="{FF2B5EF4-FFF2-40B4-BE49-F238E27FC236}">
              <a16:creationId xmlns:a16="http://schemas.microsoft.com/office/drawing/2014/main" id="{FBC5F3C9-E086-DF5E-EAD8-7F699A700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91440</xdr:colOff>
      <xdr:row>25</xdr:row>
      <xdr:rowOff>167640</xdr:rowOff>
    </xdr:from>
    <xdr:to>
      <xdr:col>5</xdr:col>
      <xdr:colOff>1127760</xdr:colOff>
      <xdr:row>36</xdr:row>
      <xdr:rowOff>121920</xdr:rowOff>
    </xdr:to>
    <xdr:graphicFrame macro="">
      <xdr:nvGraphicFramePr>
        <xdr:cNvPr id="5" name="Chart 4">
          <a:extLst>
            <a:ext uri="{FF2B5EF4-FFF2-40B4-BE49-F238E27FC236}">
              <a16:creationId xmlns:a16="http://schemas.microsoft.com/office/drawing/2014/main" id="{6257E8BA-22AD-7BE7-7BE3-0B30DDD7D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1005840</xdr:colOff>
      <xdr:row>28</xdr:row>
      <xdr:rowOff>91440</xdr:rowOff>
    </xdr:from>
    <xdr:to>
      <xdr:col>11</xdr:col>
      <xdr:colOff>7620</xdr:colOff>
      <xdr:row>36</xdr:row>
      <xdr:rowOff>160020</xdr:rowOff>
    </xdr:to>
    <xdr:graphicFrame macro="">
      <xdr:nvGraphicFramePr>
        <xdr:cNvPr id="6" name="Chart 5">
          <a:extLst>
            <a:ext uri="{FF2B5EF4-FFF2-40B4-BE49-F238E27FC236}">
              <a16:creationId xmlns:a16="http://schemas.microsoft.com/office/drawing/2014/main" id="{736B48AE-03DC-6928-71B3-908E165D9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388620</xdr:colOff>
      <xdr:row>39</xdr:row>
      <xdr:rowOff>175260</xdr:rowOff>
    </xdr:from>
    <xdr:to>
      <xdr:col>6</xdr:col>
      <xdr:colOff>632460</xdr:colOff>
      <xdr:row>54</xdr:row>
      <xdr:rowOff>152400</xdr:rowOff>
    </xdr:to>
    <xdr:graphicFrame macro="">
      <xdr:nvGraphicFramePr>
        <xdr:cNvPr id="7" name="Chart 6">
          <a:extLst>
            <a:ext uri="{FF2B5EF4-FFF2-40B4-BE49-F238E27FC236}">
              <a16:creationId xmlns:a16="http://schemas.microsoft.com/office/drawing/2014/main" id="{D32559EF-334A-3F0F-1311-CDB3B9E31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45720</xdr:colOff>
      <xdr:row>38</xdr:row>
      <xdr:rowOff>182880</xdr:rowOff>
    </xdr:from>
    <xdr:to>
      <xdr:col>12</xdr:col>
      <xdr:colOff>784860</xdr:colOff>
      <xdr:row>49</xdr:row>
      <xdr:rowOff>160020</xdr:rowOff>
    </xdr:to>
    <xdr:graphicFrame macro="">
      <xdr:nvGraphicFramePr>
        <xdr:cNvPr id="8" name="Chart 7">
          <a:extLst>
            <a:ext uri="{FF2B5EF4-FFF2-40B4-BE49-F238E27FC236}">
              <a16:creationId xmlns:a16="http://schemas.microsoft.com/office/drawing/2014/main" id="{10784C31-793D-5F72-9C80-E1C244E0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548640</xdr:colOff>
      <xdr:row>43</xdr:row>
      <xdr:rowOff>91441</xdr:rowOff>
    </xdr:from>
    <xdr:to>
      <xdr:col>12</xdr:col>
      <xdr:colOff>510540</xdr:colOff>
      <xdr:row>52</xdr:row>
      <xdr:rowOff>144781</xdr:rowOff>
    </xdr:to>
    <mc:AlternateContent xmlns:mc="http://schemas.openxmlformats.org/markup-compatibility/2006" xmlns:a14="http://schemas.microsoft.com/office/drawing/2010/main">
      <mc:Choice Requires="a14">
        <xdr:graphicFrame macro="">
          <xdr:nvGraphicFramePr>
            <xdr:cNvPr id="9" name="Job_Role">
              <a:extLst>
                <a:ext uri="{FF2B5EF4-FFF2-40B4-BE49-F238E27FC236}">
                  <a16:creationId xmlns:a16="http://schemas.microsoft.com/office/drawing/2014/main" id="{66154363-F9FD-FF87-0D43-9DF5FE2C7AC5}"/>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2443460" y="812292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929640</xdr:colOff>
      <xdr:row>44</xdr:row>
      <xdr:rowOff>45720</xdr:rowOff>
    </xdr:from>
    <xdr:to>
      <xdr:col>14</xdr:col>
      <xdr:colOff>617220</xdr:colOff>
      <xdr:row>58</xdr:row>
      <xdr:rowOff>28575</xdr:rowOff>
    </xdr:to>
    <mc:AlternateContent xmlns:mc="http://schemas.openxmlformats.org/markup-compatibility/2006" xmlns:a14="http://schemas.microsoft.com/office/drawing/2010/main">
      <mc:Choice Requires="a14">
        <xdr:graphicFrame macro="">
          <xdr:nvGraphicFramePr>
            <xdr:cNvPr id="10" name="Years_at_Company">
              <a:extLst>
                <a:ext uri="{FF2B5EF4-FFF2-40B4-BE49-F238E27FC236}">
                  <a16:creationId xmlns:a16="http://schemas.microsoft.com/office/drawing/2014/main" id="{38A73CF0-FB02-7D78-D87D-62621AEF899A}"/>
                </a:ext>
              </a:extLst>
            </xdr:cNvPr>
            <xdr:cNvGraphicFramePr/>
          </xdr:nvGraphicFramePr>
          <xdr:xfrm>
            <a:off x="0" y="0"/>
            <a:ext cx="0" cy="0"/>
          </xdr:xfrm>
          <a:graphic>
            <a:graphicData uri="http://schemas.microsoft.com/office/drawing/2010/slicer">
              <sle:slicer xmlns:sle="http://schemas.microsoft.com/office/drawing/2010/slicer" name="Years_at_Company"/>
            </a:graphicData>
          </a:graphic>
        </xdr:graphicFrame>
      </mc:Choice>
      <mc:Fallback xmlns="">
        <xdr:sp macro="" textlink="">
          <xdr:nvSpPr>
            <xdr:cNvPr id="0" name=""/>
            <xdr:cNvSpPr>
              <a:spLocks noTextEdit="1"/>
            </xdr:cNvSpPr>
          </xdr:nvSpPr>
          <xdr:spPr>
            <a:xfrm>
              <a:off x="14691360" y="8260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137160</xdr:rowOff>
    </xdr:from>
    <xdr:to>
      <xdr:col>17</xdr:col>
      <xdr:colOff>190500</xdr:colOff>
      <xdr:row>4</xdr:row>
      <xdr:rowOff>53340</xdr:rowOff>
    </xdr:to>
    <xdr:sp macro="" textlink="">
      <xdr:nvSpPr>
        <xdr:cNvPr id="3" name="Rectangle: Rounded Corners 2">
          <a:extLst>
            <a:ext uri="{FF2B5EF4-FFF2-40B4-BE49-F238E27FC236}">
              <a16:creationId xmlns:a16="http://schemas.microsoft.com/office/drawing/2014/main" id="{8915FD9C-B006-CE51-0019-4A497BA9B360}"/>
            </a:ext>
          </a:extLst>
        </xdr:cNvPr>
        <xdr:cNvSpPr/>
      </xdr:nvSpPr>
      <xdr:spPr>
        <a:xfrm>
          <a:off x="91440" y="137160"/>
          <a:ext cx="10462260" cy="647700"/>
        </a:xfrm>
        <a:prstGeom prst="roundRect">
          <a:avLst/>
        </a:prstGeom>
        <a:solidFill>
          <a:schemeClr val="lt1"/>
        </a:solidFill>
        <a:ln>
          <a:solidFill>
            <a:schemeClr val="bg1">
              <a:lumMod val="95000"/>
            </a:schemeClr>
          </a:solidFill>
        </a:ln>
        <a:effectLst>
          <a:outerShdw blurRad="50800" dist="38100" dir="13500000" algn="b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91440</xdr:colOff>
      <xdr:row>4</xdr:row>
      <xdr:rowOff>152400</xdr:rowOff>
    </xdr:from>
    <xdr:to>
      <xdr:col>3</xdr:col>
      <xdr:colOff>494640</xdr:colOff>
      <xdr:row>9</xdr:row>
      <xdr:rowOff>15240</xdr:rowOff>
    </xdr:to>
    <xdr:sp macro="" textlink="">
      <xdr:nvSpPr>
        <xdr:cNvPr id="5" name="Rectangle: Rounded Corners 4">
          <a:extLst>
            <a:ext uri="{FF2B5EF4-FFF2-40B4-BE49-F238E27FC236}">
              <a16:creationId xmlns:a16="http://schemas.microsoft.com/office/drawing/2014/main" id="{6E92BF96-0878-431F-BAFD-AAF8209DE6A8}"/>
            </a:ext>
          </a:extLst>
        </xdr:cNvPr>
        <xdr:cNvSpPr/>
      </xdr:nvSpPr>
      <xdr:spPr>
        <a:xfrm>
          <a:off x="91440" y="883920"/>
          <a:ext cx="2232000" cy="777240"/>
        </a:xfrm>
        <a:prstGeom prst="roundRect">
          <a:avLst/>
        </a:prstGeom>
        <a:solidFill>
          <a:schemeClr val="lt1"/>
        </a:solidFill>
        <a:ln>
          <a:solidFill>
            <a:schemeClr val="bg1">
              <a:lumMod val="95000"/>
            </a:schemeClr>
          </a:solidFill>
        </a:ln>
        <a:effectLst>
          <a:outerShdw blurRad="50800" dist="38100" dir="13500000" algn="b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509016</xdr:colOff>
      <xdr:row>4</xdr:row>
      <xdr:rowOff>152400</xdr:rowOff>
    </xdr:from>
    <xdr:to>
      <xdr:col>11</xdr:col>
      <xdr:colOff>302616</xdr:colOff>
      <xdr:row>9</xdr:row>
      <xdr:rowOff>15240</xdr:rowOff>
    </xdr:to>
    <xdr:sp macro="" textlink="">
      <xdr:nvSpPr>
        <xdr:cNvPr id="7" name="Rectangle: Rounded Corners 6">
          <a:extLst>
            <a:ext uri="{FF2B5EF4-FFF2-40B4-BE49-F238E27FC236}">
              <a16:creationId xmlns:a16="http://schemas.microsoft.com/office/drawing/2014/main" id="{1EE740CD-2B7B-456B-AE60-A67E105CCBBD}"/>
            </a:ext>
          </a:extLst>
        </xdr:cNvPr>
        <xdr:cNvSpPr/>
      </xdr:nvSpPr>
      <xdr:spPr>
        <a:xfrm>
          <a:off x="4776216" y="883920"/>
          <a:ext cx="2232000" cy="777240"/>
        </a:xfrm>
        <a:prstGeom prst="roundRect">
          <a:avLst/>
        </a:prstGeom>
        <a:solidFill>
          <a:schemeClr val="lt1"/>
        </a:solidFill>
        <a:ln>
          <a:solidFill>
            <a:schemeClr val="bg1">
              <a:lumMod val="95000"/>
            </a:schemeClr>
          </a:solidFill>
        </a:ln>
        <a:effectLst>
          <a:outerShdw blurRad="50800" dist="38100" dir="13500000" algn="b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11</xdr:col>
      <xdr:colOff>405384</xdr:colOff>
      <xdr:row>4</xdr:row>
      <xdr:rowOff>144780</xdr:rowOff>
    </xdr:from>
    <xdr:to>
      <xdr:col>15</xdr:col>
      <xdr:colOff>198984</xdr:colOff>
      <xdr:row>9</xdr:row>
      <xdr:rowOff>7620</xdr:rowOff>
    </xdr:to>
    <xdr:sp macro="" textlink="">
      <xdr:nvSpPr>
        <xdr:cNvPr id="8" name="Rectangle: Rounded Corners 7">
          <a:extLst>
            <a:ext uri="{FF2B5EF4-FFF2-40B4-BE49-F238E27FC236}">
              <a16:creationId xmlns:a16="http://schemas.microsoft.com/office/drawing/2014/main" id="{9A5A2ED9-4C90-4DFE-8469-06317CCBB089}"/>
            </a:ext>
          </a:extLst>
        </xdr:cNvPr>
        <xdr:cNvSpPr/>
      </xdr:nvSpPr>
      <xdr:spPr>
        <a:xfrm>
          <a:off x="7110984" y="876300"/>
          <a:ext cx="2232000" cy="777240"/>
        </a:xfrm>
        <a:prstGeom prst="roundRect">
          <a:avLst/>
        </a:prstGeom>
        <a:solidFill>
          <a:schemeClr val="lt1"/>
        </a:solidFill>
        <a:ln>
          <a:solidFill>
            <a:schemeClr val="bg1">
              <a:lumMod val="95000"/>
            </a:schemeClr>
          </a:solidFill>
        </a:ln>
        <a:effectLst>
          <a:outerShdw blurRad="50800" dist="38100" dir="13500000" algn="b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15</xdr:col>
      <xdr:colOff>309372</xdr:colOff>
      <xdr:row>4</xdr:row>
      <xdr:rowOff>144780</xdr:rowOff>
    </xdr:from>
    <xdr:to>
      <xdr:col>19</xdr:col>
      <xdr:colOff>102972</xdr:colOff>
      <xdr:row>9</xdr:row>
      <xdr:rowOff>7620</xdr:rowOff>
    </xdr:to>
    <xdr:sp macro="" textlink="">
      <xdr:nvSpPr>
        <xdr:cNvPr id="9" name="Rectangle: Rounded Corners 8">
          <a:extLst>
            <a:ext uri="{FF2B5EF4-FFF2-40B4-BE49-F238E27FC236}">
              <a16:creationId xmlns:a16="http://schemas.microsoft.com/office/drawing/2014/main" id="{4D729FAE-E24E-4C1E-8A62-ABBEBBCDA9DF}"/>
            </a:ext>
          </a:extLst>
        </xdr:cNvPr>
        <xdr:cNvSpPr/>
      </xdr:nvSpPr>
      <xdr:spPr>
        <a:xfrm>
          <a:off x="9453372" y="876300"/>
          <a:ext cx="2232000" cy="777240"/>
        </a:xfrm>
        <a:prstGeom prst="roundRect">
          <a:avLst/>
        </a:prstGeom>
        <a:solidFill>
          <a:schemeClr val="lt1"/>
        </a:solidFill>
        <a:ln>
          <a:solidFill>
            <a:schemeClr val="bg1">
              <a:lumMod val="95000"/>
            </a:schemeClr>
          </a:solidFill>
        </a:ln>
        <a:effectLst>
          <a:outerShdw blurRad="50800" dist="38100" dir="13500000" algn="b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99060</xdr:colOff>
      <xdr:row>0</xdr:row>
      <xdr:rowOff>160020</xdr:rowOff>
    </xdr:from>
    <xdr:to>
      <xdr:col>16</xdr:col>
      <xdr:colOff>373380</xdr:colOff>
      <xdr:row>3</xdr:row>
      <xdr:rowOff>160020</xdr:rowOff>
    </xdr:to>
    <xdr:sp macro="" textlink="">
      <xdr:nvSpPr>
        <xdr:cNvPr id="10" name="TextBox 9">
          <a:extLst>
            <a:ext uri="{FF2B5EF4-FFF2-40B4-BE49-F238E27FC236}">
              <a16:creationId xmlns:a16="http://schemas.microsoft.com/office/drawing/2014/main" id="{52408695-AB90-10DA-A045-AFD9C2BBB57F}"/>
            </a:ext>
          </a:extLst>
        </xdr:cNvPr>
        <xdr:cNvSpPr txBox="1"/>
      </xdr:nvSpPr>
      <xdr:spPr>
        <a:xfrm>
          <a:off x="99060" y="160020"/>
          <a:ext cx="100279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latin typeface="Book Antiqua" panose="02040602050305030304" pitchFamily="18" charset="0"/>
            </a:rPr>
            <a:t>HUMAN RESOURCE ANALYTICS DASHBOARD</a:t>
          </a:r>
        </a:p>
      </xdr:txBody>
    </xdr:sp>
    <xdr:clientData/>
  </xdr:twoCellAnchor>
  <xdr:twoCellAnchor>
    <xdr:from>
      <xdr:col>0</xdr:col>
      <xdr:colOff>152400</xdr:colOff>
      <xdr:row>5</xdr:row>
      <xdr:rowOff>45720</xdr:rowOff>
    </xdr:from>
    <xdr:to>
      <xdr:col>4</xdr:col>
      <xdr:colOff>30480</xdr:colOff>
      <xdr:row>6</xdr:row>
      <xdr:rowOff>137160</xdr:rowOff>
    </xdr:to>
    <xdr:sp macro="" textlink="">
      <xdr:nvSpPr>
        <xdr:cNvPr id="11" name="TextBox 10">
          <a:extLst>
            <a:ext uri="{FF2B5EF4-FFF2-40B4-BE49-F238E27FC236}">
              <a16:creationId xmlns:a16="http://schemas.microsoft.com/office/drawing/2014/main" id="{6FBADFD3-C241-1D45-1E3C-CE1617E800AD}"/>
            </a:ext>
          </a:extLst>
        </xdr:cNvPr>
        <xdr:cNvSpPr txBox="1"/>
      </xdr:nvSpPr>
      <xdr:spPr>
        <a:xfrm>
          <a:off x="152400" y="960120"/>
          <a:ext cx="23164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EMPLOYEES</a:t>
          </a:r>
          <a:endParaRPr lang="en-IN" sz="1400" b="1"/>
        </a:p>
      </xdr:txBody>
    </xdr:sp>
    <xdr:clientData/>
  </xdr:twoCellAnchor>
  <xdr:twoCellAnchor>
    <xdr:from>
      <xdr:col>0</xdr:col>
      <xdr:colOff>533400</xdr:colOff>
      <xdr:row>6</xdr:row>
      <xdr:rowOff>100920</xdr:rowOff>
    </xdr:from>
    <xdr:to>
      <xdr:col>2</xdr:col>
      <xdr:colOff>358140</xdr:colOff>
      <xdr:row>8</xdr:row>
      <xdr:rowOff>95160</xdr:rowOff>
    </xdr:to>
    <xdr:sp macro="" textlink="PIVOT!A8">
      <xdr:nvSpPr>
        <xdr:cNvPr id="12" name="TextBox 11">
          <a:extLst>
            <a:ext uri="{FF2B5EF4-FFF2-40B4-BE49-F238E27FC236}">
              <a16:creationId xmlns:a16="http://schemas.microsoft.com/office/drawing/2014/main" id="{0C016F39-ACCF-108C-A42F-A38373E5D2AE}"/>
            </a:ext>
          </a:extLst>
        </xdr:cNvPr>
        <xdr:cNvSpPr txBox="1"/>
      </xdr:nvSpPr>
      <xdr:spPr>
        <a:xfrm>
          <a:off x="533400" y="1198200"/>
          <a:ext cx="104394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672933-508D-4320-A20B-6BE77AF7931D}" type="TxLink">
            <a:rPr lang="en-US" sz="1800" b="1" i="0" u="none" strike="noStrike">
              <a:solidFill>
                <a:srgbClr val="000000"/>
              </a:solidFill>
              <a:latin typeface="Aptos Narrow"/>
            </a:rPr>
            <a:pPr/>
            <a:t>1200</a:t>
          </a:fld>
          <a:endParaRPr lang="en-IN" sz="1800" b="1"/>
        </a:p>
      </xdr:txBody>
    </xdr:sp>
    <xdr:clientData/>
  </xdr:twoCellAnchor>
  <xdr:twoCellAnchor>
    <xdr:from>
      <xdr:col>8</xdr:col>
      <xdr:colOff>15240</xdr:colOff>
      <xdr:row>5</xdr:row>
      <xdr:rowOff>30480</xdr:rowOff>
    </xdr:from>
    <xdr:to>
      <xdr:col>11</xdr:col>
      <xdr:colOff>601980</xdr:colOff>
      <xdr:row>7</xdr:row>
      <xdr:rowOff>15240</xdr:rowOff>
    </xdr:to>
    <xdr:sp macro="" textlink="">
      <xdr:nvSpPr>
        <xdr:cNvPr id="15" name="TextBox 14">
          <a:extLst>
            <a:ext uri="{FF2B5EF4-FFF2-40B4-BE49-F238E27FC236}">
              <a16:creationId xmlns:a16="http://schemas.microsoft.com/office/drawing/2014/main" id="{073DA503-BFFE-7906-7E53-B64C67C61434}"/>
            </a:ext>
          </a:extLst>
        </xdr:cNvPr>
        <xdr:cNvSpPr txBox="1"/>
      </xdr:nvSpPr>
      <xdr:spPr>
        <a:xfrm>
          <a:off x="4892040" y="944880"/>
          <a:ext cx="24155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MONTHLY SALARY</a:t>
          </a:r>
        </a:p>
      </xdr:txBody>
    </xdr:sp>
    <xdr:clientData/>
  </xdr:twoCellAnchor>
  <xdr:twoCellAnchor>
    <xdr:from>
      <xdr:col>9</xdr:col>
      <xdr:colOff>129540</xdr:colOff>
      <xdr:row>6</xdr:row>
      <xdr:rowOff>160020</xdr:rowOff>
    </xdr:from>
    <xdr:to>
      <xdr:col>10</xdr:col>
      <xdr:colOff>579120</xdr:colOff>
      <xdr:row>8</xdr:row>
      <xdr:rowOff>154260</xdr:rowOff>
    </xdr:to>
    <xdr:sp macro="" textlink="PIVOT!E8">
      <xdr:nvSpPr>
        <xdr:cNvPr id="16" name="TextBox 15">
          <a:extLst>
            <a:ext uri="{FF2B5EF4-FFF2-40B4-BE49-F238E27FC236}">
              <a16:creationId xmlns:a16="http://schemas.microsoft.com/office/drawing/2014/main" id="{ECD96625-F370-3617-0107-BF2BA7EBC5AF}"/>
            </a:ext>
          </a:extLst>
        </xdr:cNvPr>
        <xdr:cNvSpPr txBox="1"/>
      </xdr:nvSpPr>
      <xdr:spPr>
        <a:xfrm>
          <a:off x="5615940" y="1257300"/>
          <a:ext cx="105918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17E117-F44A-400D-AC23-20A28043BC6E}" type="TxLink">
            <a:rPr lang="en-US" sz="1600" b="1" i="0" u="none" strike="noStrike">
              <a:solidFill>
                <a:srgbClr val="000000"/>
              </a:solidFill>
              <a:latin typeface="Aptos Narrow"/>
            </a:rPr>
            <a:pPr/>
            <a:t>68559</a:t>
          </a:fld>
          <a:endParaRPr lang="en-IN" sz="1600" b="1"/>
        </a:p>
      </xdr:txBody>
    </xdr:sp>
    <xdr:clientData/>
  </xdr:twoCellAnchor>
  <xdr:twoCellAnchor>
    <xdr:from>
      <xdr:col>19</xdr:col>
      <xdr:colOff>182880</xdr:colOff>
      <xdr:row>4</xdr:row>
      <xdr:rowOff>144780</xdr:rowOff>
    </xdr:from>
    <xdr:to>
      <xdr:col>22</xdr:col>
      <xdr:colOff>586080</xdr:colOff>
      <xdr:row>9</xdr:row>
      <xdr:rowOff>7620</xdr:rowOff>
    </xdr:to>
    <xdr:sp macro="" textlink="">
      <xdr:nvSpPr>
        <xdr:cNvPr id="17" name="Rectangle: Rounded Corners 16">
          <a:extLst>
            <a:ext uri="{FF2B5EF4-FFF2-40B4-BE49-F238E27FC236}">
              <a16:creationId xmlns:a16="http://schemas.microsoft.com/office/drawing/2014/main" id="{3BF3B087-0BF7-4A1B-B0B4-78F74C548172}"/>
            </a:ext>
          </a:extLst>
        </xdr:cNvPr>
        <xdr:cNvSpPr/>
      </xdr:nvSpPr>
      <xdr:spPr>
        <a:xfrm>
          <a:off x="11765280" y="876300"/>
          <a:ext cx="2232000" cy="777240"/>
        </a:xfrm>
        <a:prstGeom prst="roundRect">
          <a:avLst/>
        </a:prstGeom>
        <a:solidFill>
          <a:schemeClr val="lt1"/>
        </a:solidFill>
        <a:ln>
          <a:solidFill>
            <a:schemeClr val="bg1">
              <a:lumMod val="95000"/>
            </a:schemeClr>
          </a:solidFill>
        </a:ln>
        <a:effectLst>
          <a:outerShdw blurRad="50800" dist="38100" dir="13500000" algn="b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12</xdr:col>
      <xdr:colOff>434340</xdr:colOff>
      <xdr:row>4</xdr:row>
      <xdr:rowOff>160020</xdr:rowOff>
    </xdr:from>
    <xdr:to>
      <xdr:col>15</xdr:col>
      <xdr:colOff>434340</xdr:colOff>
      <xdr:row>6</xdr:row>
      <xdr:rowOff>144780</xdr:rowOff>
    </xdr:to>
    <xdr:sp macro="" textlink="">
      <xdr:nvSpPr>
        <xdr:cNvPr id="18" name="TextBox 17">
          <a:extLst>
            <a:ext uri="{FF2B5EF4-FFF2-40B4-BE49-F238E27FC236}">
              <a16:creationId xmlns:a16="http://schemas.microsoft.com/office/drawing/2014/main" id="{8129AAB5-35DD-8F81-D58F-83DB1C4DF801}"/>
            </a:ext>
          </a:extLst>
        </xdr:cNvPr>
        <xdr:cNvSpPr txBox="1"/>
      </xdr:nvSpPr>
      <xdr:spPr>
        <a:xfrm>
          <a:off x="7749540" y="891540"/>
          <a:ext cx="18288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AGE </a:t>
          </a:r>
        </a:p>
      </xdr:txBody>
    </xdr:sp>
    <xdr:clientData/>
  </xdr:twoCellAnchor>
  <xdr:twoCellAnchor>
    <xdr:from>
      <xdr:col>13</xdr:col>
      <xdr:colOff>68580</xdr:colOff>
      <xdr:row>6</xdr:row>
      <xdr:rowOff>53340</xdr:rowOff>
    </xdr:from>
    <xdr:to>
      <xdr:col>14</xdr:col>
      <xdr:colOff>68580</xdr:colOff>
      <xdr:row>8</xdr:row>
      <xdr:rowOff>47580</xdr:rowOff>
    </xdr:to>
    <xdr:sp macro="" textlink="PIVOT!G8">
      <xdr:nvSpPr>
        <xdr:cNvPr id="22" name="TextBox 21">
          <a:extLst>
            <a:ext uri="{FF2B5EF4-FFF2-40B4-BE49-F238E27FC236}">
              <a16:creationId xmlns:a16="http://schemas.microsoft.com/office/drawing/2014/main" id="{A058619D-BC91-EFA6-AC12-735860B8238B}"/>
            </a:ext>
          </a:extLst>
        </xdr:cNvPr>
        <xdr:cNvSpPr txBox="1"/>
      </xdr:nvSpPr>
      <xdr:spPr>
        <a:xfrm>
          <a:off x="7993380" y="1150620"/>
          <a:ext cx="6096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B5CD6C-2FD9-4657-BCEB-B2F174AB7CBD}" type="TxLink">
            <a:rPr lang="en-US" sz="1800" b="1" i="0" u="none" strike="noStrike">
              <a:solidFill>
                <a:srgbClr val="000000"/>
              </a:solidFill>
              <a:latin typeface="Aptos Narrow"/>
            </a:rPr>
            <a:pPr/>
            <a:t>41</a:t>
          </a:fld>
          <a:endParaRPr lang="en-IN" sz="1800" b="1"/>
        </a:p>
      </xdr:txBody>
    </xdr:sp>
    <xdr:clientData/>
  </xdr:twoCellAnchor>
  <xdr:twoCellAnchor>
    <xdr:from>
      <xdr:col>15</xdr:col>
      <xdr:colOff>419100</xdr:colOff>
      <xdr:row>5</xdr:row>
      <xdr:rowOff>0</xdr:rowOff>
    </xdr:from>
    <xdr:to>
      <xdr:col>19</xdr:col>
      <xdr:colOff>243840</xdr:colOff>
      <xdr:row>6</xdr:row>
      <xdr:rowOff>152400</xdr:rowOff>
    </xdr:to>
    <xdr:sp macro="" textlink="">
      <xdr:nvSpPr>
        <xdr:cNvPr id="23" name="TextBox 22">
          <a:extLst>
            <a:ext uri="{FF2B5EF4-FFF2-40B4-BE49-F238E27FC236}">
              <a16:creationId xmlns:a16="http://schemas.microsoft.com/office/drawing/2014/main" id="{0C2C11F6-AC6A-F508-3B72-4C5B28683C10}"/>
            </a:ext>
          </a:extLst>
        </xdr:cNvPr>
        <xdr:cNvSpPr txBox="1"/>
      </xdr:nvSpPr>
      <xdr:spPr>
        <a:xfrm>
          <a:off x="9563100" y="914400"/>
          <a:ext cx="22631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JOB SATISFACTION %</a:t>
          </a:r>
        </a:p>
      </xdr:txBody>
    </xdr:sp>
    <xdr:clientData/>
  </xdr:twoCellAnchor>
  <xdr:twoCellAnchor>
    <xdr:from>
      <xdr:col>16</xdr:col>
      <xdr:colOff>586740</xdr:colOff>
      <xdr:row>6</xdr:row>
      <xdr:rowOff>76200</xdr:rowOff>
    </xdr:from>
    <xdr:to>
      <xdr:col>17</xdr:col>
      <xdr:colOff>495300</xdr:colOff>
      <xdr:row>8</xdr:row>
      <xdr:rowOff>70440</xdr:rowOff>
    </xdr:to>
    <xdr:sp macro="" textlink="PIVOT!H8">
      <xdr:nvSpPr>
        <xdr:cNvPr id="24" name="TextBox 23">
          <a:extLst>
            <a:ext uri="{FF2B5EF4-FFF2-40B4-BE49-F238E27FC236}">
              <a16:creationId xmlns:a16="http://schemas.microsoft.com/office/drawing/2014/main" id="{25CE4D07-0ECF-AB33-655B-7218F0FCF0BD}"/>
            </a:ext>
          </a:extLst>
        </xdr:cNvPr>
        <xdr:cNvSpPr txBox="1"/>
      </xdr:nvSpPr>
      <xdr:spPr>
        <a:xfrm>
          <a:off x="10340340" y="1173480"/>
          <a:ext cx="51816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4E6A06-CBDF-4B33-8EC1-165375374003}" type="TxLink">
            <a:rPr lang="en-US" sz="1800" b="1" i="0" u="none" strike="noStrike">
              <a:solidFill>
                <a:srgbClr val="000000"/>
              </a:solidFill>
              <a:latin typeface="Aptos Narrow"/>
            </a:rPr>
            <a:pPr/>
            <a:t>3.0</a:t>
          </a:fld>
          <a:endParaRPr lang="en-IN" sz="1800" b="1"/>
        </a:p>
      </xdr:txBody>
    </xdr:sp>
    <xdr:clientData/>
  </xdr:twoCellAnchor>
  <xdr:twoCellAnchor>
    <xdr:from>
      <xdr:col>20</xdr:col>
      <xdr:colOff>53340</xdr:colOff>
      <xdr:row>4</xdr:row>
      <xdr:rowOff>167640</xdr:rowOff>
    </xdr:from>
    <xdr:to>
      <xdr:col>23</xdr:col>
      <xdr:colOff>30480</xdr:colOff>
      <xdr:row>6</xdr:row>
      <xdr:rowOff>137160</xdr:rowOff>
    </xdr:to>
    <xdr:sp macro="" textlink="">
      <xdr:nvSpPr>
        <xdr:cNvPr id="25" name="TextBox 24">
          <a:extLst>
            <a:ext uri="{FF2B5EF4-FFF2-40B4-BE49-F238E27FC236}">
              <a16:creationId xmlns:a16="http://schemas.microsoft.com/office/drawing/2014/main" id="{6B634DF5-8932-C99B-68A8-31CDC703C00E}"/>
            </a:ext>
          </a:extLst>
        </xdr:cNvPr>
        <xdr:cNvSpPr txBox="1"/>
      </xdr:nvSpPr>
      <xdr:spPr>
        <a:xfrm>
          <a:off x="12245340" y="899160"/>
          <a:ext cx="18059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OVERTIME %</a:t>
          </a:r>
        </a:p>
      </xdr:txBody>
    </xdr:sp>
    <xdr:clientData/>
  </xdr:twoCellAnchor>
  <xdr:twoCellAnchor>
    <xdr:from>
      <xdr:col>20</xdr:col>
      <xdr:colOff>457200</xdr:colOff>
      <xdr:row>6</xdr:row>
      <xdr:rowOff>60960</xdr:rowOff>
    </xdr:from>
    <xdr:to>
      <xdr:col>22</xdr:col>
      <xdr:colOff>457200</xdr:colOff>
      <xdr:row>8</xdr:row>
      <xdr:rowOff>55200</xdr:rowOff>
    </xdr:to>
    <xdr:sp macro="" textlink="PIVOT!I8">
      <xdr:nvSpPr>
        <xdr:cNvPr id="26" name="TextBox 25">
          <a:extLst>
            <a:ext uri="{FF2B5EF4-FFF2-40B4-BE49-F238E27FC236}">
              <a16:creationId xmlns:a16="http://schemas.microsoft.com/office/drawing/2014/main" id="{9D75B063-8D12-3402-1792-4EF26BC11B87}"/>
            </a:ext>
          </a:extLst>
        </xdr:cNvPr>
        <xdr:cNvSpPr txBox="1"/>
      </xdr:nvSpPr>
      <xdr:spPr>
        <a:xfrm>
          <a:off x="12649200" y="1158240"/>
          <a:ext cx="12192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862423-A26E-4864-B732-5835B0315CFC}" type="TxLink">
            <a:rPr lang="en-US" sz="1800" b="1" i="0" u="none" strike="noStrike">
              <a:solidFill>
                <a:srgbClr val="000000"/>
              </a:solidFill>
              <a:latin typeface="Aptos Narrow"/>
              <a:ea typeface="+mn-ea"/>
              <a:cs typeface="+mn-cs"/>
            </a:rPr>
            <a:pPr marL="0" indent="0"/>
            <a:t>53</a:t>
          </a:fld>
          <a:endParaRPr lang="en-IN" sz="1800" b="1" i="0" u="none" strike="noStrike">
            <a:solidFill>
              <a:srgbClr val="000000"/>
            </a:solidFill>
            <a:latin typeface="Aptos Narrow"/>
            <a:ea typeface="+mn-ea"/>
            <a:cs typeface="+mn-cs"/>
          </a:endParaRPr>
        </a:p>
      </xdr:txBody>
    </xdr:sp>
    <xdr:clientData/>
  </xdr:twoCellAnchor>
  <xdr:twoCellAnchor>
    <xdr:from>
      <xdr:col>3</xdr:col>
      <xdr:colOff>574548</xdr:colOff>
      <xdr:row>4</xdr:row>
      <xdr:rowOff>152400</xdr:rowOff>
    </xdr:from>
    <xdr:to>
      <xdr:col>7</xdr:col>
      <xdr:colOff>368148</xdr:colOff>
      <xdr:row>9</xdr:row>
      <xdr:rowOff>15240</xdr:rowOff>
    </xdr:to>
    <xdr:sp macro="" textlink="">
      <xdr:nvSpPr>
        <xdr:cNvPr id="4" name="Rectangle: Rounded Corners 3">
          <a:extLst>
            <a:ext uri="{FF2B5EF4-FFF2-40B4-BE49-F238E27FC236}">
              <a16:creationId xmlns:a16="http://schemas.microsoft.com/office/drawing/2014/main" id="{2D3B2546-F673-4C13-8DE8-D17416D127D2}"/>
            </a:ext>
          </a:extLst>
        </xdr:cNvPr>
        <xdr:cNvSpPr/>
      </xdr:nvSpPr>
      <xdr:spPr>
        <a:xfrm>
          <a:off x="2403348" y="883920"/>
          <a:ext cx="2232000" cy="777240"/>
        </a:xfrm>
        <a:prstGeom prst="roundRect">
          <a:avLst/>
        </a:prstGeom>
        <a:solidFill>
          <a:schemeClr val="lt1"/>
        </a:solidFill>
        <a:ln>
          <a:solidFill>
            <a:schemeClr val="bg1">
              <a:lumMod val="95000"/>
            </a:schemeClr>
          </a:solidFill>
        </a:ln>
        <a:effectLst>
          <a:outerShdw blurRad="50800" dist="38100" dir="13500000" algn="b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4</xdr:col>
      <xdr:colOff>22860</xdr:colOff>
      <xdr:row>5</xdr:row>
      <xdr:rowOff>15240</xdr:rowOff>
    </xdr:from>
    <xdr:to>
      <xdr:col>7</xdr:col>
      <xdr:colOff>266700</xdr:colOff>
      <xdr:row>7</xdr:row>
      <xdr:rowOff>0</xdr:rowOff>
    </xdr:to>
    <xdr:sp macro="" textlink="">
      <xdr:nvSpPr>
        <xdr:cNvPr id="13" name="TextBox 12">
          <a:extLst>
            <a:ext uri="{FF2B5EF4-FFF2-40B4-BE49-F238E27FC236}">
              <a16:creationId xmlns:a16="http://schemas.microsoft.com/office/drawing/2014/main" id="{4316B920-5C73-2882-1CA5-DE45A81D25B2}"/>
            </a:ext>
          </a:extLst>
        </xdr:cNvPr>
        <xdr:cNvSpPr txBox="1"/>
      </xdr:nvSpPr>
      <xdr:spPr>
        <a:xfrm>
          <a:off x="2461260" y="929640"/>
          <a:ext cx="2072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a:t>
          </a:r>
          <a:r>
            <a:rPr lang="en-IN" sz="1400" b="1" baseline="0">
              <a:solidFill>
                <a:schemeClr val="dk1"/>
              </a:solidFill>
              <a:latin typeface="+mn-lt"/>
              <a:ea typeface="+mn-ea"/>
              <a:cs typeface="+mn-cs"/>
            </a:rPr>
            <a:t>ATTRITION</a:t>
          </a:r>
          <a:r>
            <a:rPr lang="en-IN" sz="1400" b="1"/>
            <a:t> %</a:t>
          </a:r>
        </a:p>
      </xdr:txBody>
    </xdr:sp>
    <xdr:clientData/>
  </xdr:twoCellAnchor>
  <xdr:twoCellAnchor>
    <xdr:from>
      <xdr:col>4</xdr:col>
      <xdr:colOff>518160</xdr:colOff>
      <xdr:row>6</xdr:row>
      <xdr:rowOff>68580</xdr:rowOff>
    </xdr:from>
    <xdr:to>
      <xdr:col>6</xdr:col>
      <xdr:colOff>99060</xdr:colOff>
      <xdr:row>8</xdr:row>
      <xdr:rowOff>62820</xdr:rowOff>
    </xdr:to>
    <xdr:sp macro="" textlink="PIVOT!C8">
      <xdr:nvSpPr>
        <xdr:cNvPr id="14" name="TextBox 13">
          <a:extLst>
            <a:ext uri="{FF2B5EF4-FFF2-40B4-BE49-F238E27FC236}">
              <a16:creationId xmlns:a16="http://schemas.microsoft.com/office/drawing/2014/main" id="{E8B1769D-DBE0-6E4E-FCB7-F6B29DA1FD7E}"/>
            </a:ext>
          </a:extLst>
        </xdr:cNvPr>
        <xdr:cNvSpPr txBox="1"/>
      </xdr:nvSpPr>
      <xdr:spPr>
        <a:xfrm>
          <a:off x="2956560" y="1165860"/>
          <a:ext cx="8001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6AE421-3A36-45A4-80C5-D5DC6FC95B3C}" type="TxLink">
            <a:rPr lang="en-US" sz="2000" b="1" i="0" u="none" strike="noStrike">
              <a:solidFill>
                <a:srgbClr val="000000"/>
              </a:solidFill>
              <a:latin typeface="Aptos Narrow"/>
            </a:rPr>
            <a:pPr/>
            <a:t>48</a:t>
          </a:fld>
          <a:endParaRPr lang="en-IN" sz="2000" b="1"/>
        </a:p>
      </xdr:txBody>
    </xdr:sp>
    <xdr:clientData/>
  </xdr:twoCellAnchor>
  <xdr:twoCellAnchor>
    <xdr:from>
      <xdr:col>0</xdr:col>
      <xdr:colOff>99060</xdr:colOff>
      <xdr:row>9</xdr:row>
      <xdr:rowOff>121920</xdr:rowOff>
    </xdr:from>
    <xdr:to>
      <xdr:col>6</xdr:col>
      <xdr:colOff>289560</xdr:colOff>
      <xdr:row>21</xdr:row>
      <xdr:rowOff>175260</xdr:rowOff>
    </xdr:to>
    <xdr:graphicFrame macro="">
      <xdr:nvGraphicFramePr>
        <xdr:cNvPr id="6" name="Chart 5">
          <a:extLst>
            <a:ext uri="{FF2B5EF4-FFF2-40B4-BE49-F238E27FC236}">
              <a16:creationId xmlns:a16="http://schemas.microsoft.com/office/drawing/2014/main" id="{7BEA1116-D962-46B4-8D06-F89E70B50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434340</xdr:colOff>
      <xdr:row>9</xdr:row>
      <xdr:rowOff>152400</xdr:rowOff>
    </xdr:from>
    <xdr:to>
      <xdr:col>12</xdr:col>
      <xdr:colOff>594360</xdr:colOff>
      <xdr:row>22</xdr:row>
      <xdr:rowOff>0</xdr:rowOff>
    </xdr:to>
    <xdr:graphicFrame macro="">
      <xdr:nvGraphicFramePr>
        <xdr:cNvPr id="19" name="Chart 18">
          <a:extLst>
            <a:ext uri="{FF2B5EF4-FFF2-40B4-BE49-F238E27FC236}">
              <a16:creationId xmlns:a16="http://schemas.microsoft.com/office/drawing/2014/main" id="{8F6F898D-5EEB-454C-B598-513E73999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160020</xdr:colOff>
      <xdr:row>9</xdr:row>
      <xdr:rowOff>144780</xdr:rowOff>
    </xdr:from>
    <xdr:to>
      <xdr:col>19</xdr:col>
      <xdr:colOff>434340</xdr:colOff>
      <xdr:row>22</xdr:row>
      <xdr:rowOff>15240</xdr:rowOff>
    </xdr:to>
    <xdr:graphicFrame macro="">
      <xdr:nvGraphicFramePr>
        <xdr:cNvPr id="20" name="Chart 19">
          <a:extLst>
            <a:ext uri="{FF2B5EF4-FFF2-40B4-BE49-F238E27FC236}">
              <a16:creationId xmlns:a16="http://schemas.microsoft.com/office/drawing/2014/main" id="{7C9A9A4D-1EDF-4887-A963-AE79CF825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99060</xdr:colOff>
      <xdr:row>22</xdr:row>
      <xdr:rowOff>114300</xdr:rowOff>
    </xdr:from>
    <xdr:to>
      <xdr:col>6</xdr:col>
      <xdr:colOff>289560</xdr:colOff>
      <xdr:row>35</xdr:row>
      <xdr:rowOff>45720</xdr:rowOff>
    </xdr:to>
    <xdr:graphicFrame macro="">
      <xdr:nvGraphicFramePr>
        <xdr:cNvPr id="21" name="Chart 20">
          <a:extLst>
            <a:ext uri="{FF2B5EF4-FFF2-40B4-BE49-F238E27FC236}">
              <a16:creationId xmlns:a16="http://schemas.microsoft.com/office/drawing/2014/main" id="{13671731-C536-4C79-941A-694D82FBE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434340</xdr:colOff>
      <xdr:row>22</xdr:row>
      <xdr:rowOff>99060</xdr:rowOff>
    </xdr:from>
    <xdr:to>
      <xdr:col>13</xdr:col>
      <xdr:colOff>0</xdr:colOff>
      <xdr:row>35</xdr:row>
      <xdr:rowOff>68580</xdr:rowOff>
    </xdr:to>
    <xdr:graphicFrame macro="">
      <xdr:nvGraphicFramePr>
        <xdr:cNvPr id="27" name="Chart 26">
          <a:extLst>
            <a:ext uri="{FF2B5EF4-FFF2-40B4-BE49-F238E27FC236}">
              <a16:creationId xmlns:a16="http://schemas.microsoft.com/office/drawing/2014/main" id="{CB7A5CEA-68E2-46A5-A629-1645B55B1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152400</xdr:colOff>
      <xdr:row>22</xdr:row>
      <xdr:rowOff>121920</xdr:rowOff>
    </xdr:from>
    <xdr:to>
      <xdr:col>19</xdr:col>
      <xdr:colOff>426720</xdr:colOff>
      <xdr:row>35</xdr:row>
      <xdr:rowOff>68580</xdr:rowOff>
    </xdr:to>
    <xdr:graphicFrame macro="">
      <xdr:nvGraphicFramePr>
        <xdr:cNvPr id="28" name="Chart 27">
          <a:extLst>
            <a:ext uri="{FF2B5EF4-FFF2-40B4-BE49-F238E27FC236}">
              <a16:creationId xmlns:a16="http://schemas.microsoft.com/office/drawing/2014/main" id="{1EE849B3-DFC3-4CE1-87D2-B696963B9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434340</xdr:colOff>
      <xdr:row>5</xdr:row>
      <xdr:rowOff>83820</xdr:rowOff>
    </xdr:from>
    <xdr:to>
      <xdr:col>3</xdr:col>
      <xdr:colOff>426720</xdr:colOff>
      <xdr:row>8</xdr:row>
      <xdr:rowOff>106680</xdr:rowOff>
    </xdr:to>
    <xdr:pic>
      <xdr:nvPicPr>
        <xdr:cNvPr id="35" name="Graphic 34" descr="Group of women with solid fill">
          <a:extLst>
            <a:ext uri="{FF2B5EF4-FFF2-40B4-BE49-F238E27FC236}">
              <a16:creationId xmlns:a16="http://schemas.microsoft.com/office/drawing/2014/main" id="{564BCC93-60CA-14A0-378D-D4A7046B591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53540" y="998220"/>
          <a:ext cx="601980" cy="571500"/>
        </a:xfrm>
        <a:prstGeom prst="rect">
          <a:avLst/>
        </a:prstGeom>
      </xdr:spPr>
    </xdr:pic>
    <xdr:clientData/>
  </xdr:twoCellAnchor>
  <xdr:twoCellAnchor editAs="oneCell">
    <xdr:from>
      <xdr:col>6</xdr:col>
      <xdr:colOff>274320</xdr:colOff>
      <xdr:row>5</xdr:row>
      <xdr:rowOff>76200</xdr:rowOff>
    </xdr:from>
    <xdr:to>
      <xdr:col>7</xdr:col>
      <xdr:colOff>312420</xdr:colOff>
      <xdr:row>8</xdr:row>
      <xdr:rowOff>106680</xdr:rowOff>
    </xdr:to>
    <xdr:pic>
      <xdr:nvPicPr>
        <xdr:cNvPr id="37" name="Graphic 36" descr="Walk with solid fill">
          <a:extLst>
            <a:ext uri="{FF2B5EF4-FFF2-40B4-BE49-F238E27FC236}">
              <a16:creationId xmlns:a16="http://schemas.microsoft.com/office/drawing/2014/main" id="{0DE20946-B56F-468B-667F-64A96F65B5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31920" y="990600"/>
          <a:ext cx="647700" cy="579120"/>
        </a:xfrm>
        <a:prstGeom prst="rect">
          <a:avLst/>
        </a:prstGeom>
      </xdr:spPr>
    </xdr:pic>
    <xdr:clientData/>
  </xdr:twoCellAnchor>
  <xdr:twoCellAnchor editAs="oneCell">
    <xdr:from>
      <xdr:col>19</xdr:col>
      <xdr:colOff>594360</xdr:colOff>
      <xdr:row>20</xdr:row>
      <xdr:rowOff>45720</xdr:rowOff>
    </xdr:from>
    <xdr:to>
      <xdr:col>22</xdr:col>
      <xdr:colOff>594360</xdr:colOff>
      <xdr:row>35</xdr:row>
      <xdr:rowOff>104775</xdr:rowOff>
    </xdr:to>
    <mc:AlternateContent xmlns:mc="http://schemas.openxmlformats.org/markup-compatibility/2006" xmlns:a14="http://schemas.microsoft.com/office/drawing/2010/main">
      <mc:Choice Requires="a14">
        <xdr:graphicFrame macro="">
          <xdr:nvGraphicFramePr>
            <xdr:cNvPr id="38" name="Years_at_Company 1">
              <a:extLst>
                <a:ext uri="{FF2B5EF4-FFF2-40B4-BE49-F238E27FC236}">
                  <a16:creationId xmlns:a16="http://schemas.microsoft.com/office/drawing/2014/main" id="{0F9FB5D0-F24B-4CEF-9356-22A31EC9730B}"/>
                </a:ext>
              </a:extLst>
            </xdr:cNvPr>
            <xdr:cNvGraphicFramePr/>
          </xdr:nvGraphicFramePr>
          <xdr:xfrm>
            <a:off x="0" y="0"/>
            <a:ext cx="0" cy="0"/>
          </xdr:xfrm>
          <a:graphic>
            <a:graphicData uri="http://schemas.microsoft.com/office/drawing/2010/slicer">
              <sle:slicer xmlns:sle="http://schemas.microsoft.com/office/drawing/2010/slicer" name="Years_at_Company 1"/>
            </a:graphicData>
          </a:graphic>
        </xdr:graphicFrame>
      </mc:Choice>
      <mc:Fallback xmlns="">
        <xdr:sp macro="" textlink="">
          <xdr:nvSpPr>
            <xdr:cNvPr id="0" name=""/>
            <xdr:cNvSpPr>
              <a:spLocks noTextEdit="1"/>
            </xdr:cNvSpPr>
          </xdr:nvSpPr>
          <xdr:spPr>
            <a:xfrm>
              <a:off x="12230100" y="3703320"/>
              <a:ext cx="1828800" cy="2802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10</xdr:row>
      <xdr:rowOff>0</xdr:rowOff>
    </xdr:from>
    <xdr:to>
      <xdr:col>23</xdr:col>
      <xdr:colOff>0</xdr:colOff>
      <xdr:row>19</xdr:row>
      <xdr:rowOff>175260</xdr:rowOff>
    </xdr:to>
    <mc:AlternateContent xmlns:mc="http://schemas.openxmlformats.org/markup-compatibility/2006" xmlns:a14="http://schemas.microsoft.com/office/drawing/2010/main">
      <mc:Choice Requires="a14">
        <xdr:graphicFrame macro="">
          <xdr:nvGraphicFramePr>
            <xdr:cNvPr id="39" name="Job_Role 1">
              <a:extLst>
                <a:ext uri="{FF2B5EF4-FFF2-40B4-BE49-F238E27FC236}">
                  <a16:creationId xmlns:a16="http://schemas.microsoft.com/office/drawing/2014/main" id="{E3F38F8E-80C9-4C9C-A9FF-E4608446CE3A}"/>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mlns="">
        <xdr:sp macro="" textlink="">
          <xdr:nvSpPr>
            <xdr:cNvPr id="0" name=""/>
            <xdr:cNvSpPr>
              <a:spLocks noTextEdit="1"/>
            </xdr:cNvSpPr>
          </xdr:nvSpPr>
          <xdr:spPr>
            <a:xfrm>
              <a:off x="12245340" y="1828800"/>
              <a:ext cx="182880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213360</xdr:colOff>
      <xdr:row>0</xdr:row>
      <xdr:rowOff>137160</xdr:rowOff>
    </xdr:from>
    <xdr:to>
      <xdr:col>19</xdr:col>
      <xdr:colOff>327660</xdr:colOff>
      <xdr:row>4</xdr:row>
      <xdr:rowOff>7620</xdr:rowOff>
    </xdr:to>
    <xdr:pic macro="[0]!Macro1">
      <xdr:nvPicPr>
        <xdr:cNvPr id="43" name="Graphic 42" descr="Arrow circle with solid fill">
          <a:extLst>
            <a:ext uri="{FF2B5EF4-FFF2-40B4-BE49-F238E27FC236}">
              <a16:creationId xmlns:a16="http://schemas.microsoft.com/office/drawing/2014/main" id="{8725E892-7143-0F49-97AA-09A5266E694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186160" y="137160"/>
          <a:ext cx="723900" cy="601980"/>
        </a:xfrm>
        <a:prstGeom prst="rect">
          <a:avLst/>
        </a:prstGeom>
      </xdr:spPr>
    </xdr:pic>
    <xdr:clientData/>
  </xdr:twoCellAnchor>
  <xdr:twoCellAnchor>
    <xdr:from>
      <xdr:col>19</xdr:col>
      <xdr:colOff>274320</xdr:colOff>
      <xdr:row>1</xdr:row>
      <xdr:rowOff>60960</xdr:rowOff>
    </xdr:from>
    <xdr:to>
      <xdr:col>21</xdr:col>
      <xdr:colOff>480060</xdr:colOff>
      <xdr:row>3</xdr:row>
      <xdr:rowOff>68580</xdr:rowOff>
    </xdr:to>
    <xdr:sp macro="" textlink="">
      <xdr:nvSpPr>
        <xdr:cNvPr id="44" name="TextBox 43">
          <a:extLst>
            <a:ext uri="{FF2B5EF4-FFF2-40B4-BE49-F238E27FC236}">
              <a16:creationId xmlns:a16="http://schemas.microsoft.com/office/drawing/2014/main" id="{C9ACD2DD-DB29-7E6C-94CE-9308447E22F2}"/>
            </a:ext>
          </a:extLst>
        </xdr:cNvPr>
        <xdr:cNvSpPr txBox="1"/>
      </xdr:nvSpPr>
      <xdr:spPr>
        <a:xfrm>
          <a:off x="11856720" y="243840"/>
          <a:ext cx="14249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FILTER PANEL</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0.25567</cdr:x>
      <cdr:y>0.8539</cdr:y>
    </cdr:from>
    <cdr:to>
      <cdr:x>0.91959</cdr:x>
      <cdr:y>0.97727</cdr:y>
    </cdr:to>
    <cdr:sp macro="" textlink="">
      <cdr:nvSpPr>
        <cdr:cNvPr id="2" name="TextBox 1">
          <a:extLst xmlns:a="http://schemas.openxmlformats.org/drawingml/2006/main">
            <a:ext uri="{FF2B5EF4-FFF2-40B4-BE49-F238E27FC236}">
              <a16:creationId xmlns:a16="http://schemas.microsoft.com/office/drawing/2014/main" id="{9D1215D9-28A4-F70D-3E6B-BA3D1F32F18F}"/>
            </a:ext>
          </a:extLst>
        </cdr:cNvPr>
        <cdr:cNvSpPr txBox="1"/>
      </cdr:nvSpPr>
      <cdr:spPr>
        <a:xfrm xmlns:a="http://schemas.openxmlformats.org/drawingml/2006/main">
          <a:off x="944880" y="2004060"/>
          <a:ext cx="245364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JOB SATISFACTION SCORE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SINAN" refreshedDate="46086.44909652778" createdVersion="8" refreshedVersion="8" minRefreshableVersion="3" recordCount="1200" xr:uid="{35A7CC3B-8D9C-4111-86FB-FD3A19CD92E1}">
  <cacheSource type="worksheet">
    <worksheetSource name="HR_DATASET"/>
  </cacheSource>
  <cacheFields count="15">
    <cacheField name="Employee_ID" numFmtId="0">
      <sharedItems count="120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 v="EMP2000"/>
        <s v="EMP2001"/>
        <s v="EMP2002"/>
        <s v="EMP2003"/>
        <s v="EMP2004"/>
        <s v="EMP2005"/>
        <s v="EMP2006"/>
        <s v="EMP2007"/>
        <s v="EMP2008"/>
        <s v="EMP2009"/>
        <s v="EMP2010"/>
        <s v="EMP2011"/>
        <s v="EMP2012"/>
        <s v="EMP2013"/>
        <s v="EMP2014"/>
        <s v="EMP2015"/>
        <s v="EMP2016"/>
        <s v="EMP2017"/>
        <s v="EMP2018"/>
        <s v="EMP2019"/>
        <s v="EMP2020"/>
        <s v="EMP2021"/>
        <s v="EMP2022"/>
        <s v="EMP2023"/>
        <s v="EMP2024"/>
        <s v="EMP2025"/>
        <s v="EMP2026"/>
        <s v="EMP2027"/>
        <s v="EMP2028"/>
        <s v="EMP2029"/>
        <s v="EMP2030"/>
        <s v="EMP2031"/>
        <s v="EMP2032"/>
        <s v="EMP2033"/>
        <s v="EMP2034"/>
        <s v="EMP2035"/>
        <s v="EMP2036"/>
        <s v="EMP2037"/>
        <s v="EMP2038"/>
        <s v="EMP2039"/>
        <s v="EMP2040"/>
        <s v="EMP2041"/>
        <s v="EMP2042"/>
        <s v="EMP2043"/>
        <s v="EMP2044"/>
        <s v="EMP2045"/>
        <s v="EMP2046"/>
        <s v="EMP2047"/>
        <s v="EMP2048"/>
        <s v="EMP2049"/>
        <s v="EMP2050"/>
        <s v="EMP2051"/>
        <s v="EMP2052"/>
        <s v="EMP2053"/>
        <s v="EMP2054"/>
        <s v="EMP2055"/>
        <s v="EMP2056"/>
        <s v="EMP2057"/>
        <s v="EMP2058"/>
        <s v="EMP2059"/>
        <s v="EMP2060"/>
        <s v="EMP2061"/>
        <s v="EMP2062"/>
        <s v="EMP2063"/>
        <s v="EMP2064"/>
        <s v="EMP2065"/>
        <s v="EMP2066"/>
        <s v="EMP2067"/>
        <s v="EMP2068"/>
        <s v="EMP2069"/>
        <s v="EMP2070"/>
        <s v="EMP2071"/>
        <s v="EMP2072"/>
        <s v="EMP2073"/>
        <s v="EMP2074"/>
        <s v="EMP2075"/>
        <s v="EMP2076"/>
        <s v="EMP2077"/>
        <s v="EMP2078"/>
        <s v="EMP2079"/>
        <s v="EMP2080"/>
        <s v="EMP2081"/>
        <s v="EMP2082"/>
        <s v="EMP2083"/>
        <s v="EMP2084"/>
        <s v="EMP2085"/>
        <s v="EMP2086"/>
        <s v="EMP2087"/>
        <s v="EMP2088"/>
        <s v="EMP2089"/>
        <s v="EMP2090"/>
        <s v="EMP2091"/>
        <s v="EMP2092"/>
        <s v="EMP2093"/>
        <s v="EMP2094"/>
        <s v="EMP2095"/>
        <s v="EMP2096"/>
        <s v="EMP2097"/>
        <s v="EMP2098"/>
        <s v="EMP2099"/>
        <s v="EMP2100"/>
        <s v="EMP2101"/>
        <s v="EMP2102"/>
        <s v="EMP2103"/>
        <s v="EMP2104"/>
        <s v="EMP2105"/>
        <s v="EMP2106"/>
        <s v="EMP2107"/>
        <s v="EMP2108"/>
        <s v="EMP2109"/>
        <s v="EMP2110"/>
        <s v="EMP2111"/>
        <s v="EMP2112"/>
        <s v="EMP2113"/>
        <s v="EMP2114"/>
        <s v="EMP2115"/>
        <s v="EMP2116"/>
        <s v="EMP2117"/>
        <s v="EMP2118"/>
        <s v="EMP2119"/>
        <s v="EMP2120"/>
        <s v="EMP2121"/>
        <s v="EMP2122"/>
        <s v="EMP2123"/>
        <s v="EMP2124"/>
        <s v="EMP2125"/>
        <s v="EMP2126"/>
        <s v="EMP2127"/>
        <s v="EMP2128"/>
        <s v="EMP2129"/>
        <s v="EMP2130"/>
        <s v="EMP2131"/>
        <s v="EMP2132"/>
        <s v="EMP2133"/>
        <s v="EMP2134"/>
        <s v="EMP2135"/>
        <s v="EMP2136"/>
        <s v="EMP2137"/>
        <s v="EMP2138"/>
        <s v="EMP2139"/>
        <s v="EMP2140"/>
        <s v="EMP2141"/>
        <s v="EMP2142"/>
        <s v="EMP2143"/>
        <s v="EMP2144"/>
        <s v="EMP2145"/>
        <s v="EMP2146"/>
        <s v="EMP2147"/>
        <s v="EMP2148"/>
        <s v="EMP2149"/>
        <s v="EMP2150"/>
        <s v="EMP2151"/>
        <s v="EMP2152"/>
        <s v="EMP2153"/>
        <s v="EMP2154"/>
        <s v="EMP2155"/>
        <s v="EMP2156"/>
        <s v="EMP2157"/>
        <s v="EMP2158"/>
        <s v="EMP2159"/>
        <s v="EMP2160"/>
        <s v="EMP2161"/>
        <s v="EMP2162"/>
        <s v="EMP2163"/>
        <s v="EMP2164"/>
        <s v="EMP2165"/>
        <s v="EMP2166"/>
        <s v="EMP2167"/>
        <s v="EMP2168"/>
        <s v="EMP2169"/>
        <s v="EMP2170"/>
        <s v="EMP2171"/>
        <s v="EMP2172"/>
        <s v="EMP2173"/>
        <s v="EMP2174"/>
        <s v="EMP2175"/>
        <s v="EMP2176"/>
        <s v="EMP2177"/>
        <s v="EMP2178"/>
        <s v="EMP2179"/>
        <s v="EMP2180"/>
        <s v="EMP2181"/>
        <s v="EMP2182"/>
        <s v="EMP2183"/>
        <s v="EMP2184"/>
        <s v="EMP2185"/>
        <s v="EMP2186"/>
        <s v="EMP2187"/>
        <s v="EMP2188"/>
        <s v="EMP2189"/>
        <s v="EMP2190"/>
        <s v="EMP2191"/>
        <s v="EMP2192"/>
        <s v="EMP2193"/>
        <s v="EMP2194"/>
        <s v="EMP2195"/>
        <s v="EMP2196"/>
        <s v="EMP2197"/>
        <s v="EMP2198"/>
        <s v="EMP2199"/>
      </sharedItems>
    </cacheField>
    <cacheField name="Age" numFmtId="0">
      <sharedItems containsSemiMixedTypes="0" containsString="0" containsNumber="1" containsInteger="1" minValue="21" maxValue="59"/>
    </cacheField>
    <cacheField name="Gender" numFmtId="0">
      <sharedItems count="2">
        <s v="Female"/>
        <s v="Male"/>
      </sharedItems>
    </cacheField>
    <cacheField name="Department" numFmtId="0">
      <sharedItems count="6">
        <s v="Finance"/>
        <s v="Marketing"/>
        <s v="Operations"/>
        <s v="Sales"/>
        <s v="HR"/>
        <s v="IT"/>
      </sharedItems>
    </cacheField>
    <cacheField name="Job_Role" numFmtId="0">
      <sharedItems count="5">
        <s v="Executive"/>
        <s v="Analyst"/>
        <s v="Manager"/>
        <s v="Associate"/>
        <s v="Team Lead"/>
      </sharedItems>
    </cacheField>
    <cacheField name="Education_Level" numFmtId="0">
      <sharedItems/>
    </cacheField>
    <cacheField name="Marital_Status" numFmtId="0">
      <sharedItems/>
    </cacheField>
    <cacheField name="Monthly_Salary" numFmtId="0">
      <sharedItems containsSemiMixedTypes="0" containsString="0" containsNumber="1" containsInteger="1" minValue="20060" maxValue="119871" count="1197">
        <n v="42499"/>
        <n v="71628"/>
        <n v="81360"/>
        <n v="24603"/>
        <n v="113309"/>
        <n v="105473"/>
        <n v="32632"/>
        <n v="50607"/>
        <n v="111873"/>
        <n v="85756"/>
        <n v="66994"/>
        <n v="83382"/>
        <n v="90354"/>
        <n v="76344"/>
        <n v="73775"/>
        <n v="27349"/>
        <n v="91154"/>
        <n v="47464"/>
        <n v="62624"/>
        <n v="57344"/>
        <n v="103791"/>
        <n v="44299"/>
        <n v="67975"/>
        <n v="21462"/>
        <n v="101441"/>
        <n v="110456"/>
        <n v="101788"/>
        <n v="60581"/>
        <n v="91289"/>
        <n v="34175"/>
        <n v="26191"/>
        <n v="103434"/>
        <n v="104518"/>
        <n v="100158"/>
        <n v="86537"/>
        <n v="67645"/>
        <n v="43283"/>
        <n v="106971"/>
        <n v="112759"/>
        <n v="79123"/>
        <n v="50024"/>
        <n v="69630"/>
        <n v="50734"/>
        <n v="20515"/>
        <n v="86727"/>
        <n v="117800"/>
        <n v="66216"/>
        <n v="91833"/>
        <n v="78755"/>
        <n v="47856"/>
        <n v="93870"/>
        <n v="44162"/>
        <n v="26008"/>
        <n v="27987"/>
        <n v="82532"/>
        <n v="116502"/>
        <n v="23332"/>
        <n v="86323"/>
        <n v="58990"/>
        <n v="29873"/>
        <n v="102542"/>
        <n v="105761"/>
        <n v="56444"/>
        <n v="55340"/>
        <n v="25033"/>
        <n v="93324"/>
        <n v="35689"/>
        <n v="107134"/>
        <n v="115239"/>
        <n v="20066"/>
        <n v="65246"/>
        <n v="27533"/>
        <n v="100639"/>
        <n v="90152"/>
        <n v="79658"/>
        <n v="58498"/>
        <n v="31772"/>
        <n v="109385"/>
        <n v="69036"/>
        <n v="78531"/>
        <n v="32940"/>
        <n v="36932"/>
        <n v="115305"/>
        <n v="76827"/>
        <n v="81431"/>
        <n v="44648"/>
        <n v="52966"/>
        <n v="47777"/>
        <n v="52567"/>
        <n v="37174"/>
        <n v="62598"/>
        <n v="79199"/>
        <n v="33798"/>
        <n v="85364"/>
        <n v="37558"/>
        <n v="81084"/>
        <n v="64237"/>
        <n v="85497"/>
        <n v="20178"/>
        <n v="106006"/>
        <n v="37118"/>
        <n v="42616"/>
        <n v="20798"/>
        <n v="27601"/>
        <n v="45363"/>
        <n v="22795"/>
        <n v="117462"/>
        <n v="65264"/>
        <n v="92833"/>
        <n v="23084"/>
        <n v="115865"/>
        <n v="96646"/>
        <n v="20731"/>
        <n v="21129"/>
        <n v="48022"/>
        <n v="21605"/>
        <n v="97506"/>
        <n v="64130"/>
        <n v="49265"/>
        <n v="52330"/>
        <n v="88469"/>
        <n v="35187"/>
        <n v="45791"/>
        <n v="110436"/>
        <n v="90610"/>
        <n v="111962"/>
        <n v="59867"/>
        <n v="20893"/>
        <n v="119694"/>
        <n v="39773"/>
        <n v="24239"/>
        <n v="40863"/>
        <n v="71415"/>
        <n v="88968"/>
        <n v="80430"/>
        <n v="21515"/>
        <n v="117206"/>
        <n v="34605"/>
        <n v="76240"/>
        <n v="25586"/>
        <n v="51186"/>
        <n v="46928"/>
        <n v="118264"/>
        <n v="103087"/>
        <n v="107029"/>
        <n v="40711"/>
        <n v="74962"/>
        <n v="40039"/>
        <n v="56561"/>
        <n v="95483"/>
        <n v="117871"/>
        <n v="101395"/>
        <n v="108658"/>
        <n v="21577"/>
        <n v="48350"/>
        <n v="53798"/>
        <n v="117434"/>
        <n v="101417"/>
        <n v="30785"/>
        <n v="92227"/>
        <n v="81957"/>
        <n v="85431"/>
        <n v="37297"/>
        <n v="91894"/>
        <n v="83772"/>
        <n v="39581"/>
        <n v="75192"/>
        <n v="84173"/>
        <n v="35511"/>
        <n v="96106"/>
        <n v="68665"/>
        <n v="64414"/>
        <n v="101010"/>
        <n v="92573"/>
        <n v="113665"/>
        <n v="33386"/>
        <n v="74460"/>
        <n v="26221"/>
        <n v="43474"/>
        <n v="41045"/>
        <n v="111319"/>
        <n v="24922"/>
        <n v="42706"/>
        <n v="62771"/>
        <n v="72335"/>
        <n v="118015"/>
        <n v="72949"/>
        <n v="90714"/>
        <n v="115558"/>
        <n v="35240"/>
        <n v="111756"/>
        <n v="22716"/>
        <n v="36574"/>
        <n v="103255"/>
        <n v="93717"/>
        <n v="64066"/>
        <n v="81826"/>
        <n v="40213"/>
        <n v="91916"/>
        <n v="86151"/>
        <n v="70906"/>
        <n v="20463"/>
        <n v="51973"/>
        <n v="94694"/>
        <n v="40651"/>
        <n v="88694"/>
        <n v="40008"/>
        <n v="90474"/>
        <n v="58185"/>
        <n v="107924"/>
        <n v="94417"/>
        <n v="91139"/>
        <n v="54980"/>
        <n v="42504"/>
        <n v="74970"/>
        <n v="36766"/>
        <n v="113922"/>
        <n v="31695"/>
        <n v="37796"/>
        <n v="62543"/>
        <n v="34559"/>
        <n v="53139"/>
        <n v="28802"/>
        <n v="93843"/>
        <n v="60205"/>
        <n v="118750"/>
        <n v="54159"/>
        <n v="31516"/>
        <n v="70492"/>
        <n v="49086"/>
        <n v="50480"/>
        <n v="72091"/>
        <n v="67766"/>
        <n v="58737"/>
        <n v="29265"/>
        <n v="90990"/>
        <n v="111717"/>
        <n v="35386"/>
        <n v="57425"/>
        <n v="63254"/>
        <n v="109863"/>
        <n v="73634"/>
        <n v="106717"/>
        <n v="67662"/>
        <n v="106988"/>
        <n v="119287"/>
        <n v="107527"/>
        <n v="95452"/>
        <n v="30143"/>
        <n v="111391"/>
        <n v="35581"/>
        <n v="87443"/>
        <n v="49424"/>
        <n v="108844"/>
        <n v="61984"/>
        <n v="61505"/>
        <n v="82699"/>
        <n v="46957"/>
        <n v="45464"/>
        <n v="43649"/>
        <n v="62065"/>
        <n v="112661"/>
        <n v="54758"/>
        <n v="25596"/>
        <n v="36374"/>
        <n v="23775"/>
        <n v="47388"/>
        <n v="41029"/>
        <n v="103981"/>
        <n v="73639"/>
        <n v="34645"/>
        <n v="51105"/>
        <n v="33668"/>
        <n v="35960"/>
        <n v="31357"/>
        <n v="84604"/>
        <n v="71796"/>
        <n v="35804"/>
        <n v="34626"/>
        <n v="48132"/>
        <n v="27951"/>
        <n v="26449"/>
        <n v="39065"/>
        <n v="29130"/>
        <n v="109360"/>
        <n v="82287"/>
        <n v="71702"/>
        <n v="56993"/>
        <n v="51875"/>
        <n v="26054"/>
        <n v="119809"/>
        <n v="68517"/>
        <n v="96368"/>
        <n v="49670"/>
        <n v="69112"/>
        <n v="108388"/>
        <n v="109156"/>
        <n v="48307"/>
        <n v="87087"/>
        <n v="67922"/>
        <n v="83080"/>
        <n v="113348"/>
        <n v="99335"/>
        <n v="46312"/>
        <n v="86985"/>
        <n v="77608"/>
        <n v="109962"/>
        <n v="60277"/>
        <n v="51551"/>
        <n v="109813"/>
        <n v="76597"/>
        <n v="65212"/>
        <n v="29637"/>
        <n v="63258"/>
        <n v="55693"/>
        <n v="29824"/>
        <n v="46950"/>
        <n v="43488"/>
        <n v="20215"/>
        <n v="31523"/>
        <n v="95900"/>
        <n v="88689"/>
        <n v="43834"/>
        <n v="54474"/>
        <n v="63066"/>
        <n v="119871"/>
        <n v="30400"/>
        <n v="30345"/>
        <n v="53896"/>
        <n v="105430"/>
        <n v="48899"/>
        <n v="48229"/>
        <n v="25583"/>
        <n v="24897"/>
        <n v="91537"/>
        <n v="24567"/>
        <n v="94807"/>
        <n v="97239"/>
        <n v="33329"/>
        <n v="91792"/>
        <n v="20228"/>
        <n v="110282"/>
        <n v="102214"/>
        <n v="57052"/>
        <n v="77769"/>
        <n v="66032"/>
        <n v="108721"/>
        <n v="53686"/>
        <n v="96981"/>
        <n v="118802"/>
        <n v="83261"/>
        <n v="22809"/>
        <n v="61785"/>
        <n v="56547"/>
        <n v="62818"/>
        <n v="91927"/>
        <n v="85681"/>
        <n v="99465"/>
        <n v="109862"/>
        <n v="115527"/>
        <n v="57333"/>
        <n v="36576"/>
        <n v="59405"/>
        <n v="114000"/>
        <n v="93779"/>
        <n v="51601"/>
        <n v="87946"/>
        <n v="87356"/>
        <n v="72116"/>
        <n v="82894"/>
        <n v="54635"/>
        <n v="27465"/>
        <n v="76754"/>
        <n v="117975"/>
        <n v="112850"/>
        <n v="105119"/>
        <n v="112691"/>
        <n v="58871"/>
        <n v="82874"/>
        <n v="97733"/>
        <n v="49511"/>
        <n v="100960"/>
        <n v="68821"/>
        <n v="85776"/>
        <n v="90167"/>
        <n v="95135"/>
        <n v="64462"/>
        <n v="81382"/>
        <n v="110194"/>
        <n v="52574"/>
        <n v="61910"/>
        <n v="93531"/>
        <n v="45186"/>
        <n v="114781"/>
        <n v="42813"/>
        <n v="98812"/>
        <n v="105525"/>
        <n v="98282"/>
        <n v="38557"/>
        <n v="48060"/>
        <n v="78866"/>
        <n v="92104"/>
        <n v="104577"/>
        <n v="26080"/>
        <n v="33854"/>
        <n v="87695"/>
        <n v="47025"/>
        <n v="72982"/>
        <n v="61081"/>
        <n v="24368"/>
        <n v="119621"/>
        <n v="47094"/>
        <n v="66040"/>
        <n v="86766"/>
        <n v="103053"/>
        <n v="43991"/>
        <n v="21301"/>
        <n v="48610"/>
        <n v="101463"/>
        <n v="54678"/>
        <n v="44466"/>
        <n v="100440"/>
        <n v="60875"/>
        <n v="46081"/>
        <n v="44354"/>
        <n v="113297"/>
        <n v="38300"/>
        <n v="84384"/>
        <n v="115027"/>
        <n v="80892"/>
        <n v="55525"/>
        <n v="46532"/>
        <n v="26464"/>
        <n v="36562"/>
        <n v="75514"/>
        <n v="94219"/>
        <n v="52634"/>
        <n v="20060"/>
        <n v="29269"/>
        <n v="83143"/>
        <n v="43065"/>
        <n v="22895"/>
        <n v="100859"/>
        <n v="32352"/>
        <n v="69737"/>
        <n v="116426"/>
        <n v="52016"/>
        <n v="81304"/>
        <n v="31962"/>
        <n v="53302"/>
        <n v="105382"/>
        <n v="24011"/>
        <n v="39782"/>
        <n v="87691"/>
        <n v="59725"/>
        <n v="29196"/>
        <n v="63459"/>
        <n v="107245"/>
        <n v="98863"/>
        <n v="52769"/>
        <n v="44700"/>
        <n v="100356"/>
        <n v="96427"/>
        <n v="25269"/>
        <n v="63880"/>
        <n v="28320"/>
        <n v="69589"/>
        <n v="96276"/>
        <n v="55897"/>
        <n v="78565"/>
        <n v="50930"/>
        <n v="77233"/>
        <n v="102821"/>
        <n v="34380"/>
        <n v="96896"/>
        <n v="90934"/>
        <n v="75830"/>
        <n v="25529"/>
        <n v="114598"/>
        <n v="102987"/>
        <n v="69178"/>
        <n v="26937"/>
        <n v="59886"/>
        <n v="69699"/>
        <n v="96396"/>
        <n v="110678"/>
        <n v="45279"/>
        <n v="58106"/>
        <n v="99737"/>
        <n v="60544"/>
        <n v="28997"/>
        <n v="105711"/>
        <n v="60860"/>
        <n v="23225"/>
        <n v="79470"/>
        <n v="83656"/>
        <n v="71880"/>
        <n v="81078"/>
        <n v="108646"/>
        <n v="96290"/>
        <n v="76633"/>
        <n v="46655"/>
        <n v="63601"/>
        <n v="23114"/>
        <n v="46502"/>
        <n v="69768"/>
        <n v="68128"/>
        <n v="40028"/>
        <n v="75565"/>
        <n v="103123"/>
        <n v="55333"/>
        <n v="23174"/>
        <n v="55398"/>
        <n v="55929"/>
        <n v="24321"/>
        <n v="115971"/>
        <n v="75421"/>
        <n v="92635"/>
        <n v="43760"/>
        <n v="31360"/>
        <n v="30313"/>
        <n v="105998"/>
        <n v="25801"/>
        <n v="34130"/>
        <n v="34271"/>
        <n v="36075"/>
        <n v="38984"/>
        <n v="108095"/>
        <n v="80942"/>
        <n v="32861"/>
        <n v="118970"/>
        <n v="102203"/>
        <n v="91376"/>
        <n v="81247"/>
        <n v="89101"/>
        <n v="40977"/>
        <n v="70617"/>
        <n v="77473"/>
        <n v="106654"/>
        <n v="108177"/>
        <n v="92902"/>
        <n v="112172"/>
        <n v="35630"/>
        <n v="40056"/>
        <n v="27382"/>
        <n v="75739"/>
        <n v="101685"/>
        <n v="68639"/>
        <n v="79838"/>
        <n v="66041"/>
        <n v="20992"/>
        <n v="92394"/>
        <n v="87657"/>
        <n v="47160"/>
        <n v="65156"/>
        <n v="71375"/>
        <n v="106442"/>
        <n v="39572"/>
        <n v="24136"/>
        <n v="81868"/>
        <n v="102263"/>
        <n v="52167"/>
        <n v="35479"/>
        <n v="51376"/>
        <n v="24823"/>
        <n v="90456"/>
        <n v="39585"/>
        <n v="37272"/>
        <n v="46619"/>
        <n v="95069"/>
        <n v="59895"/>
        <n v="23720"/>
        <n v="39267"/>
        <n v="35696"/>
        <n v="49968"/>
        <n v="73364"/>
        <n v="43345"/>
        <n v="71567"/>
        <n v="111229"/>
        <n v="81607"/>
        <n v="39385"/>
        <n v="103658"/>
        <n v="86900"/>
        <n v="88244"/>
        <n v="85425"/>
        <n v="98518"/>
        <n v="102844"/>
        <n v="52919"/>
        <n v="110697"/>
        <n v="77196"/>
        <n v="99401"/>
        <n v="20495"/>
        <n v="64755"/>
        <n v="87684"/>
        <n v="53324"/>
        <n v="98929"/>
        <n v="21552"/>
        <n v="71272"/>
        <n v="55853"/>
        <n v="52924"/>
        <n v="94462"/>
        <n v="116387"/>
        <n v="43889"/>
        <n v="74675"/>
        <n v="93591"/>
        <n v="90190"/>
        <n v="42634"/>
        <n v="52363"/>
        <n v="83752"/>
        <n v="97004"/>
        <n v="76398"/>
        <n v="118458"/>
        <n v="60718"/>
        <n v="102916"/>
        <n v="46870"/>
        <n v="57394"/>
        <n v="72057"/>
        <n v="99795"/>
        <n v="100409"/>
        <n v="33016"/>
        <n v="62137"/>
        <n v="20153"/>
        <n v="27853"/>
        <n v="32379"/>
        <n v="35792"/>
        <n v="58367"/>
        <n v="38100"/>
        <n v="83456"/>
        <n v="31049"/>
        <n v="20786"/>
        <n v="89904"/>
        <n v="50699"/>
        <n v="67691"/>
        <n v="57040"/>
        <n v="112990"/>
        <n v="77986"/>
        <n v="58762"/>
        <n v="43600"/>
        <n v="114774"/>
        <n v="110777"/>
        <n v="39810"/>
        <n v="105703"/>
        <n v="107347"/>
        <n v="77204"/>
        <n v="40085"/>
        <n v="66854"/>
        <n v="94797"/>
        <n v="104269"/>
        <n v="59779"/>
        <n v="76207"/>
        <n v="114615"/>
        <n v="53980"/>
        <n v="76117"/>
        <n v="34141"/>
        <n v="29344"/>
        <n v="35896"/>
        <n v="109353"/>
        <n v="49813"/>
        <n v="104431"/>
        <n v="85679"/>
        <n v="30681"/>
        <n v="92903"/>
        <n v="23228"/>
        <n v="24582"/>
        <n v="98683"/>
        <n v="31397"/>
        <n v="58799"/>
        <n v="57011"/>
        <n v="99183"/>
        <n v="113254"/>
        <n v="64264"/>
        <n v="62317"/>
        <n v="67914"/>
        <n v="104633"/>
        <n v="65254"/>
        <n v="60096"/>
        <n v="73785"/>
        <n v="72344"/>
        <n v="102643"/>
        <n v="88546"/>
        <n v="91091"/>
        <n v="85603"/>
        <n v="48412"/>
        <n v="71658"/>
        <n v="119841"/>
        <n v="69549"/>
        <n v="31549"/>
        <n v="91216"/>
        <n v="45739"/>
        <n v="41209"/>
        <n v="107968"/>
        <n v="35116"/>
        <n v="40045"/>
        <n v="46327"/>
        <n v="55709"/>
        <n v="63617"/>
        <n v="80139"/>
        <n v="46905"/>
        <n v="84148"/>
        <n v="92603"/>
        <n v="118095"/>
        <n v="62919"/>
        <n v="103521"/>
        <n v="112905"/>
        <n v="103400"/>
        <n v="108150"/>
        <n v="78446"/>
        <n v="72428"/>
        <n v="67894"/>
        <n v="101149"/>
        <n v="26447"/>
        <n v="25499"/>
        <n v="59041"/>
        <n v="51315"/>
        <n v="21299"/>
        <n v="24994"/>
        <n v="115414"/>
        <n v="101163"/>
        <n v="27489"/>
        <n v="111647"/>
        <n v="52355"/>
        <n v="93805"/>
        <n v="88367"/>
        <n v="97355"/>
        <n v="110349"/>
        <n v="107173"/>
        <n v="21996"/>
        <n v="64387"/>
        <n v="23089"/>
        <n v="118827"/>
        <n v="40659"/>
        <n v="65178"/>
        <n v="115965"/>
        <n v="101268"/>
        <n v="105042"/>
        <n v="90726"/>
        <n v="90111"/>
        <n v="54565"/>
        <n v="109242"/>
        <n v="42884"/>
        <n v="37199"/>
        <n v="80038"/>
        <n v="77786"/>
        <n v="69294"/>
        <n v="98015"/>
        <n v="54178"/>
        <n v="32665"/>
        <n v="20534"/>
        <n v="111828"/>
        <n v="56132"/>
        <n v="56110"/>
        <n v="78754"/>
        <n v="83580"/>
        <n v="42469"/>
        <n v="84016"/>
        <n v="66233"/>
        <n v="86708"/>
        <n v="78232"/>
        <n v="113450"/>
        <n v="106437"/>
        <n v="54409"/>
        <n v="39324"/>
        <n v="28738"/>
        <n v="44054"/>
        <n v="49709"/>
        <n v="105643"/>
        <n v="20363"/>
        <n v="30358"/>
        <n v="23240"/>
        <n v="92201"/>
        <n v="65689"/>
        <n v="21936"/>
        <n v="111074"/>
        <n v="63965"/>
        <n v="97534"/>
        <n v="20882"/>
        <n v="40224"/>
        <n v="50825"/>
        <n v="90740"/>
        <n v="48885"/>
        <n v="60056"/>
        <n v="23203"/>
        <n v="80241"/>
        <n v="22244"/>
        <n v="118322"/>
        <n v="88619"/>
        <n v="41584"/>
        <n v="28521"/>
        <n v="70017"/>
        <n v="53541"/>
        <n v="49063"/>
        <n v="90268"/>
        <n v="84952"/>
        <n v="113054"/>
        <n v="59563"/>
        <n v="59752"/>
        <n v="115233"/>
        <n v="22567"/>
        <n v="36121"/>
        <n v="21674"/>
        <n v="96411"/>
        <n v="86275"/>
        <n v="87081"/>
        <n v="49140"/>
        <n v="29327"/>
        <n v="90663"/>
        <n v="43331"/>
        <n v="43004"/>
        <n v="30492"/>
        <n v="74797"/>
        <n v="78095"/>
        <n v="33749"/>
        <n v="83217"/>
        <n v="109044"/>
        <n v="29045"/>
        <n v="40116"/>
        <n v="38667"/>
        <n v="95057"/>
        <n v="94205"/>
        <n v="47302"/>
        <n v="31283"/>
        <n v="50935"/>
        <n v="92534"/>
        <n v="114342"/>
        <n v="51624"/>
        <n v="33440"/>
        <n v="66501"/>
        <n v="107333"/>
        <n v="21269"/>
        <n v="27868"/>
        <n v="50251"/>
        <n v="97909"/>
        <n v="104523"/>
        <n v="58729"/>
        <n v="35734"/>
        <n v="62429"/>
        <n v="61337"/>
        <n v="60325"/>
        <n v="103600"/>
        <n v="82514"/>
        <n v="28433"/>
        <n v="29111"/>
        <n v="83753"/>
        <n v="100583"/>
        <n v="93620"/>
        <n v="41751"/>
        <n v="36453"/>
        <n v="105844"/>
        <n v="58968"/>
        <n v="50077"/>
        <n v="54775"/>
        <n v="78144"/>
        <n v="68570"/>
        <n v="66097"/>
        <n v="44503"/>
        <n v="22779"/>
        <n v="106840"/>
        <n v="20755"/>
        <n v="59263"/>
        <n v="75087"/>
        <n v="62281"/>
        <n v="71482"/>
        <n v="74857"/>
        <n v="37400"/>
        <n v="60115"/>
        <n v="34249"/>
        <n v="66825"/>
        <n v="44600"/>
        <n v="57706"/>
        <n v="39222"/>
        <n v="119041"/>
        <n v="61139"/>
        <n v="61302"/>
        <n v="114684"/>
        <n v="107838"/>
        <n v="88159"/>
        <n v="28646"/>
        <n v="33543"/>
        <n v="114496"/>
        <n v="42785"/>
        <n v="98353"/>
        <n v="51406"/>
        <n v="108992"/>
        <n v="71428"/>
        <n v="43777"/>
        <n v="77939"/>
        <n v="73026"/>
        <n v="106450"/>
        <n v="49553"/>
        <n v="43548"/>
        <n v="83221"/>
        <n v="57265"/>
        <n v="60701"/>
        <n v="71287"/>
        <n v="26727"/>
        <n v="70717"/>
        <n v="52427"/>
        <n v="36692"/>
        <n v="51625"/>
        <n v="44918"/>
        <n v="61136"/>
        <n v="72409"/>
        <n v="35577"/>
        <n v="105155"/>
        <n v="119246"/>
        <n v="101731"/>
        <n v="47689"/>
        <n v="31154"/>
        <n v="114948"/>
        <n v="41341"/>
        <n v="117554"/>
        <n v="94681"/>
        <n v="66330"/>
        <n v="107759"/>
        <n v="88416"/>
        <n v="106807"/>
        <n v="53313"/>
        <n v="66900"/>
        <n v="98840"/>
        <n v="54695"/>
        <n v="50225"/>
        <n v="106072"/>
        <n v="116367"/>
        <n v="69156"/>
        <n v="97209"/>
        <n v="107453"/>
        <n v="47829"/>
        <n v="100908"/>
        <n v="45938"/>
        <n v="79164"/>
        <n v="74530"/>
        <n v="88199"/>
        <n v="80282"/>
        <n v="67801"/>
        <n v="29465"/>
        <n v="23326"/>
        <n v="23659"/>
        <n v="80289"/>
        <n v="47594"/>
        <n v="24763"/>
        <n v="108657"/>
        <n v="30828"/>
        <n v="67588"/>
        <n v="31221"/>
        <n v="31211"/>
        <n v="33569"/>
        <n v="116894"/>
        <n v="57860"/>
        <n v="91558"/>
        <n v="65337"/>
        <n v="72311"/>
        <n v="33515"/>
        <n v="91695"/>
        <n v="107227"/>
        <n v="44904"/>
        <n v="79935"/>
        <n v="63790"/>
        <n v="88580"/>
        <n v="95148"/>
        <n v="25636"/>
        <n v="97129"/>
        <n v="22892"/>
        <n v="41672"/>
        <n v="25812"/>
        <n v="116621"/>
        <n v="20654"/>
        <n v="74633"/>
        <n v="37143"/>
        <n v="75934"/>
        <n v="87334"/>
        <n v="49087"/>
        <n v="31618"/>
        <n v="28446"/>
        <n v="107182"/>
        <n v="68867"/>
        <n v="71028"/>
        <n v="80101"/>
        <n v="47200"/>
        <n v="115107"/>
        <n v="108074"/>
        <n v="81465"/>
        <n v="106436"/>
        <n v="107892"/>
        <n v="108559"/>
        <n v="59148"/>
        <n v="102928"/>
        <n v="40698"/>
        <n v="62470"/>
        <n v="112071"/>
        <n v="71660"/>
        <n v="73910"/>
        <n v="55450"/>
        <n v="76463"/>
        <n v="53757"/>
        <n v="98012"/>
        <n v="90247"/>
        <n v="92015"/>
        <n v="51390"/>
        <n v="76116"/>
        <n v="33161"/>
        <n v="52152"/>
        <n v="100171"/>
        <n v="115833"/>
        <n v="40836"/>
        <n v="110367"/>
        <n v="86543"/>
        <n v="75648"/>
        <n v="46331"/>
        <n v="30763"/>
        <n v="89444"/>
        <n v="113109"/>
        <n v="39187"/>
        <n v="31957"/>
        <n v="24379"/>
        <n v="47959"/>
        <n v="102018"/>
        <n v="47105"/>
        <n v="20877"/>
        <n v="68353"/>
        <n v="103788"/>
        <n v="116870"/>
        <n v="104585"/>
        <n v="103308"/>
        <n v="77913"/>
        <n v="22637"/>
        <n v="92778"/>
        <n v="62025"/>
        <n v="119508"/>
        <n v="102464"/>
        <n v="48742"/>
        <n v="31831"/>
        <n v="105092"/>
        <n v="110879"/>
        <n v="108370"/>
        <n v="66762"/>
        <n v="118958"/>
        <n v="108741"/>
        <n v="38830"/>
        <n v="75044"/>
        <n v="93948"/>
        <n v="89202"/>
        <n v="57045"/>
        <n v="106322"/>
        <n v="91051"/>
        <n v="46627"/>
        <n v="35198"/>
        <n v="89521"/>
        <n v="49475"/>
        <n v="39403"/>
        <n v="23681"/>
        <n v="111555"/>
        <n v="113122"/>
        <n v="62292"/>
        <n v="25629"/>
        <n v="113246"/>
        <n v="115864"/>
        <n v="97814"/>
        <n v="28417"/>
        <n v="54765"/>
        <n v="94499"/>
        <n v="76574"/>
        <n v="110545"/>
        <n v="47675"/>
        <n v="92267"/>
        <n v="60563"/>
        <n v="31332"/>
        <n v="39177"/>
        <n v="109254"/>
        <n v="88447"/>
        <n v="77104"/>
        <n v="104335"/>
        <n v="100730"/>
        <n v="24951"/>
        <n v="48333"/>
        <n v="41673"/>
        <n v="60870"/>
        <n v="91101"/>
        <n v="42821"/>
        <n v="45494"/>
        <n v="119477"/>
        <n v="94160"/>
        <n v="20835"/>
        <n v="38646"/>
        <n v="97360"/>
        <n v="57335"/>
        <n v="89351"/>
        <n v="22429"/>
        <n v="61950"/>
        <n v="80654"/>
        <n v="88143"/>
        <n v="111186"/>
        <n v="117889"/>
        <n v="97527"/>
        <n v="106704"/>
        <n v="51099"/>
        <n v="59385"/>
        <n v="55919"/>
        <n v="116952"/>
        <n v="80782"/>
        <n v="91116"/>
        <n v="92590"/>
        <n v="109626"/>
        <n v="60387"/>
        <n v="35823"/>
        <n v="66015"/>
        <n v="35339"/>
        <n v="23491"/>
        <n v="20706"/>
        <n v="117493"/>
        <n v="35728"/>
        <n v="26997"/>
        <n v="80408"/>
        <n v="78097"/>
        <n v="58523"/>
        <n v="45163"/>
        <n v="37718"/>
        <n v="107508"/>
        <n v="103767"/>
        <n v="59619"/>
        <n v="32126"/>
        <n v="109131"/>
        <n v="84926"/>
        <n v="60633"/>
        <n v="97654"/>
        <n v="23317"/>
        <n v="64980"/>
        <n v="64115"/>
        <n v="81646"/>
        <n v="63158"/>
        <n v="75963"/>
        <n v="67631"/>
        <n v="69316"/>
        <n v="79342"/>
        <n v="35504"/>
        <n v="88593"/>
        <n v="46660"/>
        <n v="57196"/>
        <n v="85938"/>
        <n v="28605"/>
        <n v="77388"/>
        <n v="101297"/>
        <n v="75501"/>
        <n v="73309"/>
        <n v="47043"/>
        <n v="53635"/>
        <n v="99315"/>
        <n v="100691"/>
        <n v="53132"/>
        <n v="109387"/>
        <n v="35366"/>
        <n v="113944"/>
        <n v="92107"/>
        <n v="82580"/>
        <n v="77889"/>
        <n v="99553"/>
        <n v="59236"/>
        <n v="24150"/>
        <n v="39423"/>
        <n v="24137"/>
        <n v="49992"/>
        <n v="114438"/>
        <n v="64921"/>
        <n v="99369"/>
        <n v="86917"/>
        <n v="93690"/>
        <n v="54235"/>
        <n v="98975"/>
        <n v="39122"/>
        <n v="43956"/>
        <n v="83879"/>
        <n v="78560"/>
        <n v="102800"/>
        <n v="88685"/>
        <n v="44660"/>
        <n v="106064"/>
        <n v="21168"/>
        <n v="65124"/>
        <n v="35032"/>
        <n v="72797"/>
        <n v="55294"/>
        <n v="63827"/>
        <n v="23516"/>
        <n v="39751"/>
        <n v="50373"/>
        <n v="50270"/>
        <n v="30386"/>
        <n v="84817"/>
        <n v="85184"/>
        <n v="99693"/>
        <n v="57879"/>
        <n v="69597"/>
        <n v="59132"/>
        <n v="23626"/>
        <n v="105936"/>
        <n v="101515"/>
        <n v="97065"/>
        <n v="75390"/>
      </sharedItems>
    </cacheField>
    <cacheField name="Years_at_Company" numFmtId="0">
      <sharedItems containsSemiMixedTypes="0" containsString="0" containsNumber="1" containsInteger="1" minValue="0" maxValue="19" count="20">
        <n v="5"/>
        <n v="0"/>
        <n v="6"/>
        <n v="15"/>
        <n v="13"/>
        <n v="19"/>
        <n v="4"/>
        <n v="17"/>
        <n v="14"/>
        <n v="18"/>
        <n v="12"/>
        <n v="2"/>
        <n v="9"/>
        <n v="8"/>
        <n v="7"/>
        <n v="11"/>
        <n v="1"/>
        <n v="16"/>
        <n v="3"/>
        <n v="10"/>
      </sharedItems>
    </cacheField>
    <cacheField name="Years_in_Current_Role" numFmtId="0">
      <sharedItems containsSemiMixedTypes="0" containsString="0" containsNumber="1" containsInteger="1" minValue="0" maxValue="9"/>
    </cacheField>
    <cacheField name="Overtime" numFmtId="0">
      <sharedItems count="2">
        <s v="Yes"/>
        <s v="No"/>
      </sharedItems>
    </cacheField>
    <cacheField name="Performance_Rating" numFmtId="0">
      <sharedItems count="4">
        <s v="Excellent"/>
        <s v="Low"/>
        <s v="Average"/>
        <s v="Good"/>
      </sharedItems>
    </cacheField>
    <cacheField name="Training_Hours" numFmtId="0">
      <sharedItems containsSemiMixedTypes="0" containsString="0" containsNumber="1" containsInteger="1" minValue="5" maxValue="99"/>
    </cacheField>
    <cacheField name="Attrition" numFmtId="0">
      <sharedItems count="2">
        <s v="Yes"/>
        <s v="No"/>
      </sharedItems>
    </cacheField>
    <cacheField name="Job_Satisfaction_Score" numFmtId="0">
      <sharedItems containsSemiMixedTypes="0" containsString="0" containsNumber="1" containsInteger="1" minValue="1" maxValue="5" count="5">
        <n v="5"/>
        <n v="4"/>
        <n v="1"/>
        <n v="3"/>
        <n v="2"/>
      </sharedItems>
    </cacheField>
  </cacheFields>
  <extLst>
    <ext xmlns:x14="http://schemas.microsoft.com/office/spreadsheetml/2009/9/main" uri="{725AE2AE-9491-48be-B2B4-4EB974FC3084}">
      <x14:pivotCacheDefinition pivotCacheId="894019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n v="59"/>
    <x v="0"/>
    <x v="0"/>
    <x v="0"/>
    <s v="Diploma"/>
    <s v="Single"/>
    <x v="0"/>
    <x v="0"/>
    <n v="5"/>
    <x v="0"/>
    <x v="0"/>
    <n v="81"/>
    <x v="0"/>
    <x v="0"/>
  </r>
  <r>
    <x v="1"/>
    <n v="49"/>
    <x v="1"/>
    <x v="1"/>
    <x v="1"/>
    <s v="MBA"/>
    <s v="Married"/>
    <x v="1"/>
    <x v="1"/>
    <n v="2"/>
    <x v="1"/>
    <x v="1"/>
    <n v="36"/>
    <x v="1"/>
    <x v="1"/>
  </r>
  <r>
    <x v="2"/>
    <n v="35"/>
    <x v="1"/>
    <x v="2"/>
    <x v="2"/>
    <s v="Diploma"/>
    <s v="Married"/>
    <x v="2"/>
    <x v="2"/>
    <n v="4"/>
    <x v="1"/>
    <x v="0"/>
    <n v="84"/>
    <x v="1"/>
    <x v="0"/>
  </r>
  <r>
    <x v="3"/>
    <n v="28"/>
    <x v="1"/>
    <x v="3"/>
    <x v="1"/>
    <s v="Master"/>
    <s v="Married"/>
    <x v="3"/>
    <x v="3"/>
    <n v="8"/>
    <x v="1"/>
    <x v="1"/>
    <n v="5"/>
    <x v="0"/>
    <x v="2"/>
  </r>
  <r>
    <x v="4"/>
    <n v="41"/>
    <x v="1"/>
    <x v="1"/>
    <x v="0"/>
    <s v="Bachelor"/>
    <s v="Married"/>
    <x v="4"/>
    <x v="4"/>
    <n v="1"/>
    <x v="0"/>
    <x v="0"/>
    <n v="81"/>
    <x v="1"/>
    <x v="2"/>
  </r>
  <r>
    <x v="5"/>
    <n v="59"/>
    <x v="1"/>
    <x v="4"/>
    <x v="3"/>
    <s v="Diploma"/>
    <s v="Single"/>
    <x v="5"/>
    <x v="5"/>
    <n v="1"/>
    <x v="1"/>
    <x v="0"/>
    <n v="58"/>
    <x v="1"/>
    <x v="3"/>
  </r>
  <r>
    <x v="6"/>
    <n v="39"/>
    <x v="0"/>
    <x v="3"/>
    <x v="3"/>
    <s v="MBA"/>
    <s v="Married"/>
    <x v="6"/>
    <x v="5"/>
    <n v="5"/>
    <x v="0"/>
    <x v="0"/>
    <n v="15"/>
    <x v="1"/>
    <x v="4"/>
  </r>
  <r>
    <x v="7"/>
    <n v="43"/>
    <x v="1"/>
    <x v="5"/>
    <x v="0"/>
    <s v="Diploma"/>
    <s v="Single"/>
    <x v="7"/>
    <x v="0"/>
    <n v="5"/>
    <x v="0"/>
    <x v="2"/>
    <n v="57"/>
    <x v="0"/>
    <x v="1"/>
  </r>
  <r>
    <x v="8"/>
    <n v="31"/>
    <x v="1"/>
    <x v="4"/>
    <x v="2"/>
    <s v="Bachelor"/>
    <s v="Married"/>
    <x v="8"/>
    <x v="6"/>
    <n v="7"/>
    <x v="0"/>
    <x v="3"/>
    <n v="12"/>
    <x v="1"/>
    <x v="4"/>
  </r>
  <r>
    <x v="9"/>
    <n v="31"/>
    <x v="1"/>
    <x v="4"/>
    <x v="3"/>
    <s v="Diploma"/>
    <s v="Married"/>
    <x v="9"/>
    <x v="7"/>
    <n v="1"/>
    <x v="1"/>
    <x v="0"/>
    <n v="29"/>
    <x v="1"/>
    <x v="0"/>
  </r>
  <r>
    <x v="10"/>
    <n v="44"/>
    <x v="1"/>
    <x v="5"/>
    <x v="4"/>
    <s v="Diploma"/>
    <s v="Married"/>
    <x v="10"/>
    <x v="8"/>
    <n v="8"/>
    <x v="1"/>
    <x v="2"/>
    <n v="44"/>
    <x v="0"/>
    <x v="1"/>
  </r>
  <r>
    <x v="11"/>
    <n v="56"/>
    <x v="0"/>
    <x v="2"/>
    <x v="3"/>
    <s v="Bachelor"/>
    <s v="Single"/>
    <x v="11"/>
    <x v="0"/>
    <n v="1"/>
    <x v="0"/>
    <x v="2"/>
    <n v="36"/>
    <x v="0"/>
    <x v="1"/>
  </r>
  <r>
    <x v="12"/>
    <n v="44"/>
    <x v="0"/>
    <x v="4"/>
    <x v="4"/>
    <s v="Master"/>
    <s v="Single"/>
    <x v="12"/>
    <x v="9"/>
    <n v="0"/>
    <x v="0"/>
    <x v="1"/>
    <n v="92"/>
    <x v="1"/>
    <x v="2"/>
  </r>
  <r>
    <x v="13"/>
    <n v="23"/>
    <x v="0"/>
    <x v="3"/>
    <x v="0"/>
    <s v="Master"/>
    <s v="Single"/>
    <x v="13"/>
    <x v="1"/>
    <n v="9"/>
    <x v="0"/>
    <x v="3"/>
    <n v="32"/>
    <x v="1"/>
    <x v="0"/>
  </r>
  <r>
    <x v="14"/>
    <n v="42"/>
    <x v="0"/>
    <x v="1"/>
    <x v="0"/>
    <s v="Bachelor"/>
    <s v="Single"/>
    <x v="14"/>
    <x v="1"/>
    <n v="1"/>
    <x v="1"/>
    <x v="3"/>
    <n v="82"/>
    <x v="1"/>
    <x v="2"/>
  </r>
  <r>
    <x v="15"/>
    <n v="22"/>
    <x v="1"/>
    <x v="4"/>
    <x v="3"/>
    <s v="Diploma"/>
    <s v="Married"/>
    <x v="15"/>
    <x v="10"/>
    <n v="6"/>
    <x v="1"/>
    <x v="1"/>
    <n v="7"/>
    <x v="0"/>
    <x v="2"/>
  </r>
  <r>
    <x v="16"/>
    <n v="44"/>
    <x v="0"/>
    <x v="3"/>
    <x v="1"/>
    <s v="Bachelor"/>
    <s v="Single"/>
    <x v="16"/>
    <x v="11"/>
    <n v="7"/>
    <x v="0"/>
    <x v="3"/>
    <n v="95"/>
    <x v="1"/>
    <x v="3"/>
  </r>
  <r>
    <x v="17"/>
    <n v="50"/>
    <x v="1"/>
    <x v="0"/>
    <x v="4"/>
    <s v="Master"/>
    <s v="Single"/>
    <x v="17"/>
    <x v="12"/>
    <n v="4"/>
    <x v="0"/>
    <x v="1"/>
    <n v="88"/>
    <x v="0"/>
    <x v="2"/>
  </r>
  <r>
    <x v="18"/>
    <n v="58"/>
    <x v="1"/>
    <x v="3"/>
    <x v="2"/>
    <s v="MBA"/>
    <s v="Married"/>
    <x v="18"/>
    <x v="11"/>
    <n v="5"/>
    <x v="1"/>
    <x v="2"/>
    <n v="83"/>
    <x v="0"/>
    <x v="4"/>
  </r>
  <r>
    <x v="19"/>
    <n v="22"/>
    <x v="1"/>
    <x v="1"/>
    <x v="3"/>
    <s v="Diploma"/>
    <s v="Married"/>
    <x v="19"/>
    <x v="13"/>
    <n v="0"/>
    <x v="0"/>
    <x v="2"/>
    <n v="66"/>
    <x v="1"/>
    <x v="1"/>
  </r>
  <r>
    <x v="20"/>
    <n v="41"/>
    <x v="1"/>
    <x v="3"/>
    <x v="2"/>
    <s v="Master"/>
    <s v="Single"/>
    <x v="20"/>
    <x v="14"/>
    <n v="5"/>
    <x v="1"/>
    <x v="0"/>
    <n v="31"/>
    <x v="1"/>
    <x v="2"/>
  </r>
  <r>
    <x v="21"/>
    <n v="53"/>
    <x v="1"/>
    <x v="5"/>
    <x v="3"/>
    <s v="Diploma"/>
    <s v="Married"/>
    <x v="21"/>
    <x v="11"/>
    <n v="7"/>
    <x v="1"/>
    <x v="1"/>
    <n v="49"/>
    <x v="0"/>
    <x v="4"/>
  </r>
  <r>
    <x v="22"/>
    <n v="32"/>
    <x v="0"/>
    <x v="1"/>
    <x v="1"/>
    <s v="Bachelor"/>
    <s v="Single"/>
    <x v="22"/>
    <x v="10"/>
    <n v="2"/>
    <x v="0"/>
    <x v="2"/>
    <n v="96"/>
    <x v="1"/>
    <x v="0"/>
  </r>
  <r>
    <x v="23"/>
    <n v="42"/>
    <x v="0"/>
    <x v="2"/>
    <x v="1"/>
    <s v="MBA"/>
    <s v="Married"/>
    <x v="23"/>
    <x v="0"/>
    <n v="0"/>
    <x v="0"/>
    <x v="2"/>
    <n v="29"/>
    <x v="1"/>
    <x v="1"/>
  </r>
  <r>
    <x v="24"/>
    <n v="45"/>
    <x v="0"/>
    <x v="0"/>
    <x v="1"/>
    <s v="Bachelor"/>
    <s v="Single"/>
    <x v="24"/>
    <x v="10"/>
    <n v="3"/>
    <x v="1"/>
    <x v="1"/>
    <n v="65"/>
    <x v="0"/>
    <x v="0"/>
  </r>
  <r>
    <x v="25"/>
    <n v="47"/>
    <x v="0"/>
    <x v="5"/>
    <x v="1"/>
    <s v="MBA"/>
    <s v="Single"/>
    <x v="25"/>
    <x v="5"/>
    <n v="0"/>
    <x v="1"/>
    <x v="2"/>
    <n v="48"/>
    <x v="1"/>
    <x v="4"/>
  </r>
  <r>
    <x v="26"/>
    <n v="48"/>
    <x v="1"/>
    <x v="2"/>
    <x v="0"/>
    <s v="Diploma"/>
    <s v="Single"/>
    <x v="26"/>
    <x v="5"/>
    <n v="7"/>
    <x v="1"/>
    <x v="3"/>
    <n v="50"/>
    <x v="0"/>
    <x v="0"/>
  </r>
  <r>
    <x v="27"/>
    <n v="36"/>
    <x v="0"/>
    <x v="3"/>
    <x v="0"/>
    <s v="Diploma"/>
    <s v="Single"/>
    <x v="27"/>
    <x v="15"/>
    <n v="4"/>
    <x v="1"/>
    <x v="2"/>
    <n v="18"/>
    <x v="1"/>
    <x v="0"/>
  </r>
  <r>
    <x v="28"/>
    <n v="35"/>
    <x v="1"/>
    <x v="1"/>
    <x v="4"/>
    <s v="Bachelor"/>
    <s v="Single"/>
    <x v="28"/>
    <x v="10"/>
    <n v="0"/>
    <x v="1"/>
    <x v="1"/>
    <n v="12"/>
    <x v="0"/>
    <x v="0"/>
  </r>
  <r>
    <x v="29"/>
    <n v="23"/>
    <x v="0"/>
    <x v="0"/>
    <x v="2"/>
    <s v="MBA"/>
    <s v="Married"/>
    <x v="29"/>
    <x v="16"/>
    <n v="7"/>
    <x v="0"/>
    <x v="3"/>
    <n v="52"/>
    <x v="0"/>
    <x v="2"/>
  </r>
  <r>
    <x v="30"/>
    <n v="57"/>
    <x v="1"/>
    <x v="5"/>
    <x v="3"/>
    <s v="MBA"/>
    <s v="Single"/>
    <x v="30"/>
    <x v="3"/>
    <n v="8"/>
    <x v="1"/>
    <x v="3"/>
    <n v="18"/>
    <x v="1"/>
    <x v="2"/>
  </r>
  <r>
    <x v="31"/>
    <n v="27"/>
    <x v="1"/>
    <x v="2"/>
    <x v="3"/>
    <s v="Diploma"/>
    <s v="Single"/>
    <x v="31"/>
    <x v="0"/>
    <n v="9"/>
    <x v="1"/>
    <x v="2"/>
    <n v="69"/>
    <x v="0"/>
    <x v="2"/>
  </r>
  <r>
    <x v="32"/>
    <n v="41"/>
    <x v="0"/>
    <x v="2"/>
    <x v="0"/>
    <s v="Bachelor"/>
    <s v="Single"/>
    <x v="32"/>
    <x v="9"/>
    <n v="1"/>
    <x v="1"/>
    <x v="0"/>
    <n v="84"/>
    <x v="0"/>
    <x v="1"/>
  </r>
  <r>
    <x v="33"/>
    <n v="29"/>
    <x v="1"/>
    <x v="0"/>
    <x v="3"/>
    <s v="MBA"/>
    <s v="Single"/>
    <x v="33"/>
    <x v="10"/>
    <n v="8"/>
    <x v="0"/>
    <x v="3"/>
    <n v="86"/>
    <x v="1"/>
    <x v="4"/>
  </r>
  <r>
    <x v="34"/>
    <n v="59"/>
    <x v="1"/>
    <x v="3"/>
    <x v="0"/>
    <s v="Diploma"/>
    <s v="Single"/>
    <x v="34"/>
    <x v="17"/>
    <n v="7"/>
    <x v="0"/>
    <x v="1"/>
    <n v="11"/>
    <x v="1"/>
    <x v="2"/>
  </r>
  <r>
    <x v="35"/>
    <n v="38"/>
    <x v="0"/>
    <x v="0"/>
    <x v="4"/>
    <s v="Master"/>
    <s v="Married"/>
    <x v="35"/>
    <x v="13"/>
    <n v="6"/>
    <x v="1"/>
    <x v="0"/>
    <n v="83"/>
    <x v="1"/>
    <x v="0"/>
  </r>
  <r>
    <x v="36"/>
    <n v="24"/>
    <x v="1"/>
    <x v="2"/>
    <x v="2"/>
    <s v="Bachelor"/>
    <s v="Married"/>
    <x v="36"/>
    <x v="17"/>
    <n v="2"/>
    <x v="1"/>
    <x v="0"/>
    <n v="92"/>
    <x v="0"/>
    <x v="0"/>
  </r>
  <r>
    <x v="37"/>
    <n v="45"/>
    <x v="0"/>
    <x v="4"/>
    <x v="4"/>
    <s v="Master"/>
    <s v="Single"/>
    <x v="37"/>
    <x v="16"/>
    <n v="1"/>
    <x v="0"/>
    <x v="3"/>
    <n v="53"/>
    <x v="0"/>
    <x v="0"/>
  </r>
  <r>
    <x v="38"/>
    <n v="34"/>
    <x v="0"/>
    <x v="5"/>
    <x v="1"/>
    <s v="Bachelor"/>
    <s v="Married"/>
    <x v="38"/>
    <x v="9"/>
    <n v="6"/>
    <x v="0"/>
    <x v="2"/>
    <n v="59"/>
    <x v="0"/>
    <x v="0"/>
  </r>
  <r>
    <x v="39"/>
    <n v="29"/>
    <x v="0"/>
    <x v="0"/>
    <x v="1"/>
    <s v="Diploma"/>
    <s v="Single"/>
    <x v="39"/>
    <x v="9"/>
    <n v="4"/>
    <x v="0"/>
    <x v="0"/>
    <n v="17"/>
    <x v="1"/>
    <x v="3"/>
  </r>
  <r>
    <x v="40"/>
    <n v="46"/>
    <x v="1"/>
    <x v="2"/>
    <x v="1"/>
    <s v="MBA"/>
    <s v="Married"/>
    <x v="40"/>
    <x v="2"/>
    <n v="5"/>
    <x v="0"/>
    <x v="2"/>
    <n v="77"/>
    <x v="0"/>
    <x v="1"/>
  </r>
  <r>
    <x v="41"/>
    <n v="22"/>
    <x v="1"/>
    <x v="3"/>
    <x v="4"/>
    <s v="MBA"/>
    <s v="Married"/>
    <x v="41"/>
    <x v="12"/>
    <n v="3"/>
    <x v="1"/>
    <x v="3"/>
    <n v="60"/>
    <x v="0"/>
    <x v="4"/>
  </r>
  <r>
    <x v="42"/>
    <n v="40"/>
    <x v="1"/>
    <x v="2"/>
    <x v="3"/>
    <s v="MBA"/>
    <s v="Single"/>
    <x v="42"/>
    <x v="12"/>
    <n v="1"/>
    <x v="0"/>
    <x v="1"/>
    <n v="60"/>
    <x v="1"/>
    <x v="4"/>
  </r>
  <r>
    <x v="43"/>
    <n v="48"/>
    <x v="0"/>
    <x v="3"/>
    <x v="2"/>
    <s v="Bachelor"/>
    <s v="Married"/>
    <x v="43"/>
    <x v="5"/>
    <n v="8"/>
    <x v="1"/>
    <x v="0"/>
    <n v="19"/>
    <x v="0"/>
    <x v="2"/>
  </r>
  <r>
    <x v="44"/>
    <n v="27"/>
    <x v="1"/>
    <x v="0"/>
    <x v="1"/>
    <s v="Diploma"/>
    <s v="Married"/>
    <x v="44"/>
    <x v="13"/>
    <n v="2"/>
    <x v="1"/>
    <x v="1"/>
    <n v="61"/>
    <x v="1"/>
    <x v="3"/>
  </r>
  <r>
    <x v="45"/>
    <n v="28"/>
    <x v="0"/>
    <x v="3"/>
    <x v="1"/>
    <s v="Master"/>
    <s v="Single"/>
    <x v="45"/>
    <x v="17"/>
    <n v="6"/>
    <x v="0"/>
    <x v="2"/>
    <n v="62"/>
    <x v="1"/>
    <x v="4"/>
  </r>
  <r>
    <x v="46"/>
    <n v="55"/>
    <x v="0"/>
    <x v="1"/>
    <x v="1"/>
    <s v="Diploma"/>
    <s v="Single"/>
    <x v="46"/>
    <x v="8"/>
    <n v="7"/>
    <x v="0"/>
    <x v="2"/>
    <n v="39"/>
    <x v="1"/>
    <x v="1"/>
  </r>
  <r>
    <x v="47"/>
    <n v="34"/>
    <x v="1"/>
    <x v="1"/>
    <x v="2"/>
    <s v="Master"/>
    <s v="Married"/>
    <x v="47"/>
    <x v="16"/>
    <n v="1"/>
    <x v="0"/>
    <x v="1"/>
    <n v="92"/>
    <x v="0"/>
    <x v="0"/>
  </r>
  <r>
    <x v="48"/>
    <n v="37"/>
    <x v="0"/>
    <x v="1"/>
    <x v="1"/>
    <s v="Bachelor"/>
    <s v="Married"/>
    <x v="48"/>
    <x v="18"/>
    <n v="5"/>
    <x v="0"/>
    <x v="3"/>
    <n v="20"/>
    <x v="0"/>
    <x v="2"/>
  </r>
  <r>
    <x v="49"/>
    <n v="56"/>
    <x v="1"/>
    <x v="4"/>
    <x v="2"/>
    <s v="Bachelor"/>
    <s v="Married"/>
    <x v="49"/>
    <x v="9"/>
    <n v="7"/>
    <x v="1"/>
    <x v="3"/>
    <n v="12"/>
    <x v="0"/>
    <x v="1"/>
  </r>
  <r>
    <x v="50"/>
    <n v="24"/>
    <x v="1"/>
    <x v="0"/>
    <x v="1"/>
    <s v="Master"/>
    <s v="Single"/>
    <x v="50"/>
    <x v="17"/>
    <n v="6"/>
    <x v="1"/>
    <x v="0"/>
    <n v="97"/>
    <x v="1"/>
    <x v="4"/>
  </r>
  <r>
    <x v="51"/>
    <n v="22"/>
    <x v="1"/>
    <x v="2"/>
    <x v="4"/>
    <s v="Master"/>
    <s v="Married"/>
    <x v="51"/>
    <x v="6"/>
    <n v="2"/>
    <x v="1"/>
    <x v="0"/>
    <n v="91"/>
    <x v="1"/>
    <x v="3"/>
  </r>
  <r>
    <x v="52"/>
    <n v="26"/>
    <x v="1"/>
    <x v="2"/>
    <x v="4"/>
    <s v="Master"/>
    <s v="Married"/>
    <x v="52"/>
    <x v="2"/>
    <n v="0"/>
    <x v="0"/>
    <x v="3"/>
    <n v="49"/>
    <x v="1"/>
    <x v="2"/>
  </r>
  <r>
    <x v="53"/>
    <n v="24"/>
    <x v="1"/>
    <x v="4"/>
    <x v="2"/>
    <s v="Diploma"/>
    <s v="Married"/>
    <x v="53"/>
    <x v="7"/>
    <n v="5"/>
    <x v="1"/>
    <x v="3"/>
    <n v="99"/>
    <x v="0"/>
    <x v="4"/>
  </r>
  <r>
    <x v="54"/>
    <n v="49"/>
    <x v="0"/>
    <x v="3"/>
    <x v="4"/>
    <s v="Master"/>
    <s v="Single"/>
    <x v="54"/>
    <x v="2"/>
    <n v="7"/>
    <x v="0"/>
    <x v="1"/>
    <n v="44"/>
    <x v="0"/>
    <x v="2"/>
  </r>
  <r>
    <x v="55"/>
    <n v="38"/>
    <x v="0"/>
    <x v="4"/>
    <x v="2"/>
    <s v="Bachelor"/>
    <s v="Single"/>
    <x v="55"/>
    <x v="17"/>
    <n v="5"/>
    <x v="1"/>
    <x v="2"/>
    <n v="58"/>
    <x v="0"/>
    <x v="4"/>
  </r>
  <r>
    <x v="56"/>
    <n v="46"/>
    <x v="0"/>
    <x v="3"/>
    <x v="4"/>
    <s v="Bachelor"/>
    <s v="Single"/>
    <x v="56"/>
    <x v="2"/>
    <n v="4"/>
    <x v="0"/>
    <x v="2"/>
    <n v="18"/>
    <x v="0"/>
    <x v="0"/>
  </r>
  <r>
    <x v="57"/>
    <n v="54"/>
    <x v="1"/>
    <x v="3"/>
    <x v="4"/>
    <s v="MBA"/>
    <s v="Single"/>
    <x v="57"/>
    <x v="18"/>
    <n v="7"/>
    <x v="1"/>
    <x v="0"/>
    <n v="63"/>
    <x v="0"/>
    <x v="3"/>
  </r>
  <r>
    <x v="58"/>
    <n v="30"/>
    <x v="1"/>
    <x v="5"/>
    <x v="2"/>
    <s v="Master"/>
    <s v="Married"/>
    <x v="58"/>
    <x v="14"/>
    <n v="1"/>
    <x v="1"/>
    <x v="3"/>
    <n v="98"/>
    <x v="1"/>
    <x v="0"/>
  </r>
  <r>
    <x v="59"/>
    <n v="56"/>
    <x v="1"/>
    <x v="2"/>
    <x v="3"/>
    <s v="Diploma"/>
    <s v="Single"/>
    <x v="59"/>
    <x v="10"/>
    <n v="0"/>
    <x v="0"/>
    <x v="1"/>
    <n v="57"/>
    <x v="0"/>
    <x v="4"/>
  </r>
  <r>
    <x v="60"/>
    <n v="34"/>
    <x v="0"/>
    <x v="1"/>
    <x v="4"/>
    <s v="Diploma"/>
    <s v="Married"/>
    <x v="60"/>
    <x v="18"/>
    <n v="0"/>
    <x v="1"/>
    <x v="0"/>
    <n v="31"/>
    <x v="1"/>
    <x v="1"/>
  </r>
  <r>
    <x v="61"/>
    <n v="51"/>
    <x v="1"/>
    <x v="3"/>
    <x v="1"/>
    <s v="Diploma"/>
    <s v="Married"/>
    <x v="61"/>
    <x v="0"/>
    <n v="3"/>
    <x v="1"/>
    <x v="1"/>
    <n v="51"/>
    <x v="1"/>
    <x v="0"/>
  </r>
  <r>
    <x v="62"/>
    <n v="35"/>
    <x v="0"/>
    <x v="5"/>
    <x v="3"/>
    <s v="MBA"/>
    <s v="Married"/>
    <x v="62"/>
    <x v="6"/>
    <n v="5"/>
    <x v="0"/>
    <x v="3"/>
    <n v="84"/>
    <x v="0"/>
    <x v="1"/>
  </r>
  <r>
    <x v="63"/>
    <n v="28"/>
    <x v="0"/>
    <x v="2"/>
    <x v="2"/>
    <s v="Bachelor"/>
    <s v="Married"/>
    <x v="63"/>
    <x v="15"/>
    <n v="8"/>
    <x v="0"/>
    <x v="3"/>
    <n v="10"/>
    <x v="1"/>
    <x v="4"/>
  </r>
  <r>
    <x v="64"/>
    <n v="34"/>
    <x v="1"/>
    <x v="1"/>
    <x v="3"/>
    <s v="Diploma"/>
    <s v="Single"/>
    <x v="64"/>
    <x v="18"/>
    <n v="0"/>
    <x v="0"/>
    <x v="3"/>
    <n v="59"/>
    <x v="0"/>
    <x v="3"/>
  </r>
  <r>
    <x v="65"/>
    <n v="43"/>
    <x v="1"/>
    <x v="3"/>
    <x v="0"/>
    <s v="Bachelor"/>
    <s v="Single"/>
    <x v="65"/>
    <x v="13"/>
    <n v="0"/>
    <x v="0"/>
    <x v="2"/>
    <n v="48"/>
    <x v="0"/>
    <x v="1"/>
  </r>
  <r>
    <x v="66"/>
    <n v="41"/>
    <x v="0"/>
    <x v="3"/>
    <x v="0"/>
    <s v="MBA"/>
    <s v="Single"/>
    <x v="66"/>
    <x v="18"/>
    <n v="4"/>
    <x v="0"/>
    <x v="3"/>
    <n v="22"/>
    <x v="1"/>
    <x v="4"/>
  </r>
  <r>
    <x v="67"/>
    <n v="36"/>
    <x v="1"/>
    <x v="4"/>
    <x v="4"/>
    <s v="Master"/>
    <s v="Single"/>
    <x v="67"/>
    <x v="9"/>
    <n v="9"/>
    <x v="1"/>
    <x v="0"/>
    <n v="20"/>
    <x v="0"/>
    <x v="1"/>
  </r>
  <r>
    <x v="68"/>
    <n v="38"/>
    <x v="0"/>
    <x v="4"/>
    <x v="4"/>
    <s v="Master"/>
    <s v="Single"/>
    <x v="68"/>
    <x v="4"/>
    <n v="4"/>
    <x v="0"/>
    <x v="2"/>
    <n v="16"/>
    <x v="0"/>
    <x v="0"/>
  </r>
  <r>
    <x v="69"/>
    <n v="44"/>
    <x v="1"/>
    <x v="2"/>
    <x v="1"/>
    <s v="Master"/>
    <s v="Married"/>
    <x v="69"/>
    <x v="6"/>
    <n v="4"/>
    <x v="1"/>
    <x v="1"/>
    <n v="24"/>
    <x v="1"/>
    <x v="4"/>
  </r>
  <r>
    <x v="70"/>
    <n v="46"/>
    <x v="1"/>
    <x v="1"/>
    <x v="3"/>
    <s v="Diploma"/>
    <s v="Single"/>
    <x v="70"/>
    <x v="7"/>
    <n v="9"/>
    <x v="1"/>
    <x v="0"/>
    <n v="49"/>
    <x v="1"/>
    <x v="0"/>
  </r>
  <r>
    <x v="71"/>
    <n v="45"/>
    <x v="0"/>
    <x v="3"/>
    <x v="0"/>
    <s v="Master"/>
    <s v="Single"/>
    <x v="71"/>
    <x v="12"/>
    <n v="5"/>
    <x v="0"/>
    <x v="0"/>
    <n v="68"/>
    <x v="1"/>
    <x v="2"/>
  </r>
  <r>
    <x v="72"/>
    <n v="49"/>
    <x v="1"/>
    <x v="2"/>
    <x v="4"/>
    <s v="Diploma"/>
    <s v="Single"/>
    <x v="72"/>
    <x v="9"/>
    <n v="7"/>
    <x v="1"/>
    <x v="1"/>
    <n v="63"/>
    <x v="1"/>
    <x v="4"/>
  </r>
  <r>
    <x v="73"/>
    <n v="35"/>
    <x v="0"/>
    <x v="2"/>
    <x v="3"/>
    <s v="MBA"/>
    <s v="Single"/>
    <x v="73"/>
    <x v="15"/>
    <n v="2"/>
    <x v="1"/>
    <x v="2"/>
    <n v="97"/>
    <x v="1"/>
    <x v="1"/>
  </r>
  <r>
    <x v="74"/>
    <n v="21"/>
    <x v="1"/>
    <x v="0"/>
    <x v="4"/>
    <s v="MBA"/>
    <s v="Married"/>
    <x v="74"/>
    <x v="7"/>
    <n v="8"/>
    <x v="0"/>
    <x v="0"/>
    <n v="98"/>
    <x v="1"/>
    <x v="2"/>
  </r>
  <r>
    <x v="75"/>
    <n v="45"/>
    <x v="0"/>
    <x v="4"/>
    <x v="4"/>
    <s v="Diploma"/>
    <s v="Married"/>
    <x v="75"/>
    <x v="17"/>
    <n v="0"/>
    <x v="1"/>
    <x v="0"/>
    <n v="94"/>
    <x v="0"/>
    <x v="0"/>
  </r>
  <r>
    <x v="76"/>
    <n v="27"/>
    <x v="0"/>
    <x v="1"/>
    <x v="0"/>
    <s v="Bachelor"/>
    <s v="Married"/>
    <x v="76"/>
    <x v="19"/>
    <n v="3"/>
    <x v="0"/>
    <x v="0"/>
    <n v="26"/>
    <x v="0"/>
    <x v="0"/>
  </r>
  <r>
    <x v="77"/>
    <n v="29"/>
    <x v="1"/>
    <x v="3"/>
    <x v="0"/>
    <s v="Master"/>
    <s v="Married"/>
    <x v="77"/>
    <x v="11"/>
    <n v="8"/>
    <x v="0"/>
    <x v="2"/>
    <n v="51"/>
    <x v="0"/>
    <x v="1"/>
  </r>
  <r>
    <x v="78"/>
    <n v="44"/>
    <x v="0"/>
    <x v="2"/>
    <x v="4"/>
    <s v="Master"/>
    <s v="Married"/>
    <x v="78"/>
    <x v="17"/>
    <n v="7"/>
    <x v="0"/>
    <x v="2"/>
    <n v="33"/>
    <x v="1"/>
    <x v="2"/>
  </r>
  <r>
    <x v="79"/>
    <n v="21"/>
    <x v="1"/>
    <x v="3"/>
    <x v="2"/>
    <s v="Master"/>
    <s v="Single"/>
    <x v="79"/>
    <x v="1"/>
    <n v="9"/>
    <x v="1"/>
    <x v="2"/>
    <n v="90"/>
    <x v="0"/>
    <x v="3"/>
  </r>
  <r>
    <x v="80"/>
    <n v="28"/>
    <x v="1"/>
    <x v="0"/>
    <x v="4"/>
    <s v="Diploma"/>
    <s v="Married"/>
    <x v="80"/>
    <x v="8"/>
    <n v="8"/>
    <x v="1"/>
    <x v="0"/>
    <n v="49"/>
    <x v="1"/>
    <x v="1"/>
  </r>
  <r>
    <x v="81"/>
    <n v="44"/>
    <x v="1"/>
    <x v="1"/>
    <x v="4"/>
    <s v="MBA"/>
    <s v="Married"/>
    <x v="81"/>
    <x v="13"/>
    <n v="0"/>
    <x v="1"/>
    <x v="3"/>
    <n v="81"/>
    <x v="0"/>
    <x v="0"/>
  </r>
  <r>
    <x v="82"/>
    <n v="31"/>
    <x v="0"/>
    <x v="2"/>
    <x v="1"/>
    <s v="Master"/>
    <s v="Married"/>
    <x v="82"/>
    <x v="8"/>
    <n v="8"/>
    <x v="1"/>
    <x v="1"/>
    <n v="13"/>
    <x v="1"/>
    <x v="4"/>
  </r>
  <r>
    <x v="83"/>
    <n v="37"/>
    <x v="0"/>
    <x v="3"/>
    <x v="1"/>
    <s v="MBA"/>
    <s v="Single"/>
    <x v="83"/>
    <x v="11"/>
    <n v="2"/>
    <x v="0"/>
    <x v="3"/>
    <n v="28"/>
    <x v="0"/>
    <x v="2"/>
  </r>
  <r>
    <x v="84"/>
    <n v="28"/>
    <x v="1"/>
    <x v="4"/>
    <x v="1"/>
    <s v="Master"/>
    <s v="Single"/>
    <x v="84"/>
    <x v="9"/>
    <n v="9"/>
    <x v="1"/>
    <x v="2"/>
    <n v="19"/>
    <x v="1"/>
    <x v="3"/>
  </r>
  <r>
    <x v="85"/>
    <n v="55"/>
    <x v="1"/>
    <x v="0"/>
    <x v="2"/>
    <s v="Master"/>
    <s v="Married"/>
    <x v="85"/>
    <x v="10"/>
    <n v="8"/>
    <x v="0"/>
    <x v="0"/>
    <n v="40"/>
    <x v="1"/>
    <x v="4"/>
  </r>
  <r>
    <x v="86"/>
    <n v="55"/>
    <x v="0"/>
    <x v="1"/>
    <x v="2"/>
    <s v="Diploma"/>
    <s v="Single"/>
    <x v="86"/>
    <x v="15"/>
    <n v="0"/>
    <x v="1"/>
    <x v="0"/>
    <n v="17"/>
    <x v="1"/>
    <x v="2"/>
  </r>
  <r>
    <x v="87"/>
    <n v="53"/>
    <x v="1"/>
    <x v="0"/>
    <x v="4"/>
    <s v="Bachelor"/>
    <s v="Single"/>
    <x v="87"/>
    <x v="5"/>
    <n v="0"/>
    <x v="1"/>
    <x v="3"/>
    <n v="95"/>
    <x v="1"/>
    <x v="1"/>
  </r>
  <r>
    <x v="88"/>
    <n v="25"/>
    <x v="1"/>
    <x v="4"/>
    <x v="1"/>
    <s v="Diploma"/>
    <s v="Married"/>
    <x v="88"/>
    <x v="1"/>
    <n v="8"/>
    <x v="1"/>
    <x v="3"/>
    <n v="48"/>
    <x v="0"/>
    <x v="1"/>
  </r>
  <r>
    <x v="89"/>
    <n v="59"/>
    <x v="0"/>
    <x v="1"/>
    <x v="2"/>
    <s v="Master"/>
    <s v="Single"/>
    <x v="89"/>
    <x v="17"/>
    <n v="5"/>
    <x v="1"/>
    <x v="1"/>
    <n v="75"/>
    <x v="0"/>
    <x v="2"/>
  </r>
  <r>
    <x v="90"/>
    <n v="48"/>
    <x v="1"/>
    <x v="0"/>
    <x v="0"/>
    <s v="Master"/>
    <s v="Single"/>
    <x v="90"/>
    <x v="10"/>
    <n v="3"/>
    <x v="1"/>
    <x v="0"/>
    <n v="76"/>
    <x v="1"/>
    <x v="3"/>
  </r>
  <r>
    <x v="91"/>
    <n v="27"/>
    <x v="0"/>
    <x v="5"/>
    <x v="4"/>
    <s v="Bachelor"/>
    <s v="Single"/>
    <x v="91"/>
    <x v="1"/>
    <n v="6"/>
    <x v="0"/>
    <x v="3"/>
    <n v="82"/>
    <x v="1"/>
    <x v="2"/>
  </r>
  <r>
    <x v="92"/>
    <n v="29"/>
    <x v="1"/>
    <x v="4"/>
    <x v="3"/>
    <s v="MBA"/>
    <s v="Married"/>
    <x v="92"/>
    <x v="12"/>
    <n v="4"/>
    <x v="1"/>
    <x v="1"/>
    <n v="80"/>
    <x v="1"/>
    <x v="4"/>
  </r>
  <r>
    <x v="93"/>
    <n v="28"/>
    <x v="0"/>
    <x v="4"/>
    <x v="4"/>
    <s v="MBA"/>
    <s v="Married"/>
    <x v="93"/>
    <x v="8"/>
    <n v="9"/>
    <x v="1"/>
    <x v="2"/>
    <n v="40"/>
    <x v="0"/>
    <x v="4"/>
  </r>
  <r>
    <x v="94"/>
    <n v="32"/>
    <x v="1"/>
    <x v="4"/>
    <x v="3"/>
    <s v="Master"/>
    <s v="Married"/>
    <x v="94"/>
    <x v="2"/>
    <n v="6"/>
    <x v="1"/>
    <x v="3"/>
    <n v="65"/>
    <x v="1"/>
    <x v="1"/>
  </r>
  <r>
    <x v="95"/>
    <n v="54"/>
    <x v="1"/>
    <x v="5"/>
    <x v="1"/>
    <s v="MBA"/>
    <s v="Single"/>
    <x v="95"/>
    <x v="7"/>
    <n v="7"/>
    <x v="1"/>
    <x v="2"/>
    <n v="85"/>
    <x v="1"/>
    <x v="2"/>
  </r>
  <r>
    <x v="96"/>
    <n v="53"/>
    <x v="0"/>
    <x v="5"/>
    <x v="3"/>
    <s v="Master"/>
    <s v="Married"/>
    <x v="96"/>
    <x v="3"/>
    <n v="7"/>
    <x v="0"/>
    <x v="1"/>
    <n v="44"/>
    <x v="0"/>
    <x v="1"/>
  </r>
  <r>
    <x v="97"/>
    <n v="43"/>
    <x v="1"/>
    <x v="3"/>
    <x v="1"/>
    <s v="Bachelor"/>
    <s v="Single"/>
    <x v="97"/>
    <x v="4"/>
    <n v="0"/>
    <x v="1"/>
    <x v="2"/>
    <n v="97"/>
    <x v="1"/>
    <x v="3"/>
  </r>
  <r>
    <x v="98"/>
    <n v="44"/>
    <x v="0"/>
    <x v="2"/>
    <x v="0"/>
    <s v="Bachelor"/>
    <s v="Single"/>
    <x v="98"/>
    <x v="7"/>
    <n v="7"/>
    <x v="0"/>
    <x v="0"/>
    <n v="31"/>
    <x v="1"/>
    <x v="4"/>
  </r>
  <r>
    <x v="99"/>
    <n v="57"/>
    <x v="1"/>
    <x v="0"/>
    <x v="3"/>
    <s v="Master"/>
    <s v="Single"/>
    <x v="99"/>
    <x v="2"/>
    <n v="5"/>
    <x v="1"/>
    <x v="0"/>
    <n v="5"/>
    <x v="0"/>
    <x v="0"/>
  </r>
  <r>
    <x v="100"/>
    <n v="55"/>
    <x v="0"/>
    <x v="3"/>
    <x v="4"/>
    <s v="Bachelor"/>
    <s v="Married"/>
    <x v="100"/>
    <x v="17"/>
    <n v="3"/>
    <x v="0"/>
    <x v="2"/>
    <n v="38"/>
    <x v="1"/>
    <x v="0"/>
  </r>
  <r>
    <x v="101"/>
    <n v="42"/>
    <x v="0"/>
    <x v="0"/>
    <x v="1"/>
    <s v="Diploma"/>
    <s v="Married"/>
    <x v="101"/>
    <x v="7"/>
    <n v="7"/>
    <x v="0"/>
    <x v="0"/>
    <n v="72"/>
    <x v="1"/>
    <x v="2"/>
  </r>
  <r>
    <x v="102"/>
    <n v="47"/>
    <x v="0"/>
    <x v="2"/>
    <x v="4"/>
    <s v="Diploma"/>
    <s v="Married"/>
    <x v="102"/>
    <x v="15"/>
    <n v="2"/>
    <x v="0"/>
    <x v="1"/>
    <n v="92"/>
    <x v="0"/>
    <x v="2"/>
  </r>
  <r>
    <x v="103"/>
    <n v="55"/>
    <x v="0"/>
    <x v="5"/>
    <x v="2"/>
    <s v="Bachelor"/>
    <s v="Married"/>
    <x v="103"/>
    <x v="14"/>
    <n v="3"/>
    <x v="0"/>
    <x v="0"/>
    <n v="25"/>
    <x v="1"/>
    <x v="0"/>
  </r>
  <r>
    <x v="104"/>
    <n v="21"/>
    <x v="1"/>
    <x v="2"/>
    <x v="1"/>
    <s v="Master"/>
    <s v="Single"/>
    <x v="104"/>
    <x v="16"/>
    <n v="5"/>
    <x v="0"/>
    <x v="2"/>
    <n v="37"/>
    <x v="0"/>
    <x v="2"/>
  </r>
  <r>
    <x v="105"/>
    <n v="55"/>
    <x v="1"/>
    <x v="5"/>
    <x v="3"/>
    <s v="Master"/>
    <s v="Married"/>
    <x v="105"/>
    <x v="2"/>
    <n v="6"/>
    <x v="1"/>
    <x v="2"/>
    <n v="11"/>
    <x v="1"/>
    <x v="4"/>
  </r>
  <r>
    <x v="106"/>
    <n v="57"/>
    <x v="0"/>
    <x v="2"/>
    <x v="1"/>
    <s v="Bachelor"/>
    <s v="Single"/>
    <x v="106"/>
    <x v="18"/>
    <n v="3"/>
    <x v="0"/>
    <x v="2"/>
    <n v="69"/>
    <x v="1"/>
    <x v="3"/>
  </r>
  <r>
    <x v="107"/>
    <n v="34"/>
    <x v="0"/>
    <x v="3"/>
    <x v="4"/>
    <s v="MBA"/>
    <s v="Married"/>
    <x v="107"/>
    <x v="7"/>
    <n v="3"/>
    <x v="1"/>
    <x v="3"/>
    <n v="7"/>
    <x v="1"/>
    <x v="3"/>
  </r>
  <r>
    <x v="108"/>
    <n v="23"/>
    <x v="0"/>
    <x v="1"/>
    <x v="0"/>
    <s v="Diploma"/>
    <s v="Married"/>
    <x v="108"/>
    <x v="0"/>
    <n v="6"/>
    <x v="0"/>
    <x v="2"/>
    <n v="55"/>
    <x v="1"/>
    <x v="1"/>
  </r>
  <r>
    <x v="109"/>
    <n v="21"/>
    <x v="1"/>
    <x v="3"/>
    <x v="1"/>
    <s v="MBA"/>
    <s v="Married"/>
    <x v="109"/>
    <x v="13"/>
    <n v="5"/>
    <x v="0"/>
    <x v="1"/>
    <n v="83"/>
    <x v="1"/>
    <x v="4"/>
  </r>
  <r>
    <x v="110"/>
    <n v="25"/>
    <x v="1"/>
    <x v="0"/>
    <x v="3"/>
    <s v="Master"/>
    <s v="Single"/>
    <x v="110"/>
    <x v="13"/>
    <n v="7"/>
    <x v="1"/>
    <x v="0"/>
    <n v="99"/>
    <x v="0"/>
    <x v="2"/>
  </r>
  <r>
    <x v="111"/>
    <n v="46"/>
    <x v="1"/>
    <x v="3"/>
    <x v="2"/>
    <s v="Master"/>
    <s v="Single"/>
    <x v="111"/>
    <x v="4"/>
    <n v="0"/>
    <x v="0"/>
    <x v="0"/>
    <n v="58"/>
    <x v="1"/>
    <x v="2"/>
  </r>
  <r>
    <x v="112"/>
    <n v="34"/>
    <x v="1"/>
    <x v="4"/>
    <x v="0"/>
    <s v="MBA"/>
    <s v="Single"/>
    <x v="112"/>
    <x v="14"/>
    <n v="9"/>
    <x v="0"/>
    <x v="3"/>
    <n v="84"/>
    <x v="1"/>
    <x v="1"/>
  </r>
  <r>
    <x v="113"/>
    <n v="59"/>
    <x v="0"/>
    <x v="0"/>
    <x v="2"/>
    <s v="Bachelor"/>
    <s v="Single"/>
    <x v="113"/>
    <x v="9"/>
    <n v="6"/>
    <x v="0"/>
    <x v="3"/>
    <n v="78"/>
    <x v="0"/>
    <x v="1"/>
  </r>
  <r>
    <x v="114"/>
    <n v="47"/>
    <x v="0"/>
    <x v="2"/>
    <x v="1"/>
    <s v="MBA"/>
    <s v="Single"/>
    <x v="114"/>
    <x v="11"/>
    <n v="6"/>
    <x v="0"/>
    <x v="1"/>
    <n v="97"/>
    <x v="0"/>
    <x v="2"/>
  </r>
  <r>
    <x v="115"/>
    <n v="29"/>
    <x v="0"/>
    <x v="0"/>
    <x v="4"/>
    <s v="MBA"/>
    <s v="Married"/>
    <x v="115"/>
    <x v="7"/>
    <n v="6"/>
    <x v="1"/>
    <x v="2"/>
    <n v="63"/>
    <x v="1"/>
    <x v="2"/>
  </r>
  <r>
    <x v="116"/>
    <n v="35"/>
    <x v="1"/>
    <x v="1"/>
    <x v="4"/>
    <s v="Diploma"/>
    <s v="Single"/>
    <x v="116"/>
    <x v="6"/>
    <n v="6"/>
    <x v="0"/>
    <x v="3"/>
    <n v="10"/>
    <x v="0"/>
    <x v="4"/>
  </r>
  <r>
    <x v="117"/>
    <n v="35"/>
    <x v="1"/>
    <x v="5"/>
    <x v="3"/>
    <s v="Diploma"/>
    <s v="Single"/>
    <x v="117"/>
    <x v="4"/>
    <n v="9"/>
    <x v="0"/>
    <x v="0"/>
    <n v="33"/>
    <x v="1"/>
    <x v="1"/>
  </r>
  <r>
    <x v="118"/>
    <n v="46"/>
    <x v="1"/>
    <x v="2"/>
    <x v="4"/>
    <s v="MBA"/>
    <s v="Single"/>
    <x v="118"/>
    <x v="18"/>
    <n v="9"/>
    <x v="1"/>
    <x v="3"/>
    <n v="21"/>
    <x v="0"/>
    <x v="4"/>
  </r>
  <r>
    <x v="119"/>
    <n v="33"/>
    <x v="0"/>
    <x v="0"/>
    <x v="0"/>
    <s v="MBA"/>
    <s v="Single"/>
    <x v="119"/>
    <x v="2"/>
    <n v="7"/>
    <x v="1"/>
    <x v="3"/>
    <n v="64"/>
    <x v="0"/>
    <x v="2"/>
  </r>
  <r>
    <x v="120"/>
    <n v="52"/>
    <x v="0"/>
    <x v="2"/>
    <x v="4"/>
    <s v="Master"/>
    <s v="Married"/>
    <x v="120"/>
    <x v="5"/>
    <n v="8"/>
    <x v="0"/>
    <x v="2"/>
    <n v="26"/>
    <x v="1"/>
    <x v="0"/>
  </r>
  <r>
    <x v="121"/>
    <n v="59"/>
    <x v="1"/>
    <x v="2"/>
    <x v="3"/>
    <s v="Diploma"/>
    <s v="Single"/>
    <x v="121"/>
    <x v="15"/>
    <n v="8"/>
    <x v="0"/>
    <x v="3"/>
    <n v="28"/>
    <x v="0"/>
    <x v="0"/>
  </r>
  <r>
    <x v="122"/>
    <n v="52"/>
    <x v="0"/>
    <x v="2"/>
    <x v="1"/>
    <s v="Diploma"/>
    <s v="Married"/>
    <x v="122"/>
    <x v="16"/>
    <n v="1"/>
    <x v="1"/>
    <x v="1"/>
    <n v="85"/>
    <x v="1"/>
    <x v="2"/>
  </r>
  <r>
    <x v="123"/>
    <n v="24"/>
    <x v="1"/>
    <x v="5"/>
    <x v="1"/>
    <s v="Master"/>
    <s v="Married"/>
    <x v="123"/>
    <x v="19"/>
    <n v="6"/>
    <x v="0"/>
    <x v="0"/>
    <n v="89"/>
    <x v="0"/>
    <x v="1"/>
  </r>
  <r>
    <x v="124"/>
    <n v="50"/>
    <x v="1"/>
    <x v="3"/>
    <x v="4"/>
    <s v="Bachelor"/>
    <s v="Married"/>
    <x v="124"/>
    <x v="4"/>
    <n v="6"/>
    <x v="1"/>
    <x v="2"/>
    <n v="55"/>
    <x v="0"/>
    <x v="0"/>
  </r>
  <r>
    <x v="125"/>
    <n v="57"/>
    <x v="0"/>
    <x v="2"/>
    <x v="2"/>
    <s v="Diploma"/>
    <s v="Single"/>
    <x v="125"/>
    <x v="3"/>
    <n v="3"/>
    <x v="0"/>
    <x v="0"/>
    <n v="54"/>
    <x v="0"/>
    <x v="1"/>
  </r>
  <r>
    <x v="126"/>
    <n v="43"/>
    <x v="1"/>
    <x v="4"/>
    <x v="1"/>
    <s v="Diploma"/>
    <s v="Married"/>
    <x v="126"/>
    <x v="5"/>
    <n v="8"/>
    <x v="1"/>
    <x v="1"/>
    <n v="15"/>
    <x v="1"/>
    <x v="0"/>
  </r>
  <r>
    <x v="127"/>
    <n v="59"/>
    <x v="0"/>
    <x v="1"/>
    <x v="4"/>
    <s v="Bachelor"/>
    <s v="Single"/>
    <x v="127"/>
    <x v="0"/>
    <n v="7"/>
    <x v="1"/>
    <x v="1"/>
    <n v="60"/>
    <x v="1"/>
    <x v="1"/>
  </r>
  <r>
    <x v="128"/>
    <n v="35"/>
    <x v="1"/>
    <x v="5"/>
    <x v="3"/>
    <s v="Diploma"/>
    <s v="Single"/>
    <x v="128"/>
    <x v="18"/>
    <n v="0"/>
    <x v="1"/>
    <x v="3"/>
    <n v="75"/>
    <x v="0"/>
    <x v="0"/>
  </r>
  <r>
    <x v="129"/>
    <n v="49"/>
    <x v="0"/>
    <x v="0"/>
    <x v="4"/>
    <s v="Diploma"/>
    <s v="Single"/>
    <x v="129"/>
    <x v="8"/>
    <n v="1"/>
    <x v="0"/>
    <x v="3"/>
    <n v="46"/>
    <x v="1"/>
    <x v="1"/>
  </r>
  <r>
    <x v="130"/>
    <n v="56"/>
    <x v="0"/>
    <x v="5"/>
    <x v="1"/>
    <s v="Bachelor"/>
    <s v="Single"/>
    <x v="130"/>
    <x v="1"/>
    <n v="1"/>
    <x v="0"/>
    <x v="3"/>
    <n v="43"/>
    <x v="1"/>
    <x v="4"/>
  </r>
  <r>
    <x v="131"/>
    <n v="33"/>
    <x v="0"/>
    <x v="0"/>
    <x v="3"/>
    <s v="Bachelor"/>
    <s v="Single"/>
    <x v="131"/>
    <x v="2"/>
    <n v="7"/>
    <x v="0"/>
    <x v="0"/>
    <n v="73"/>
    <x v="1"/>
    <x v="1"/>
  </r>
  <r>
    <x v="132"/>
    <n v="52"/>
    <x v="1"/>
    <x v="5"/>
    <x v="4"/>
    <s v="MBA"/>
    <s v="Married"/>
    <x v="132"/>
    <x v="15"/>
    <n v="0"/>
    <x v="0"/>
    <x v="1"/>
    <n v="52"/>
    <x v="0"/>
    <x v="4"/>
  </r>
  <r>
    <x v="133"/>
    <n v="27"/>
    <x v="1"/>
    <x v="0"/>
    <x v="0"/>
    <s v="Master"/>
    <s v="Married"/>
    <x v="133"/>
    <x v="12"/>
    <n v="3"/>
    <x v="1"/>
    <x v="2"/>
    <n v="61"/>
    <x v="1"/>
    <x v="4"/>
  </r>
  <r>
    <x v="134"/>
    <n v="42"/>
    <x v="0"/>
    <x v="2"/>
    <x v="3"/>
    <s v="Master"/>
    <s v="Single"/>
    <x v="134"/>
    <x v="6"/>
    <n v="9"/>
    <x v="1"/>
    <x v="3"/>
    <n v="25"/>
    <x v="0"/>
    <x v="2"/>
  </r>
  <r>
    <x v="135"/>
    <n v="48"/>
    <x v="0"/>
    <x v="3"/>
    <x v="0"/>
    <s v="Bachelor"/>
    <s v="Married"/>
    <x v="135"/>
    <x v="15"/>
    <n v="4"/>
    <x v="1"/>
    <x v="0"/>
    <n v="86"/>
    <x v="0"/>
    <x v="4"/>
  </r>
  <r>
    <x v="136"/>
    <n v="22"/>
    <x v="1"/>
    <x v="0"/>
    <x v="2"/>
    <s v="Bachelor"/>
    <s v="Single"/>
    <x v="136"/>
    <x v="7"/>
    <n v="8"/>
    <x v="0"/>
    <x v="3"/>
    <n v="24"/>
    <x v="0"/>
    <x v="3"/>
  </r>
  <r>
    <x v="137"/>
    <n v="26"/>
    <x v="1"/>
    <x v="0"/>
    <x v="3"/>
    <s v="Diploma"/>
    <s v="Married"/>
    <x v="137"/>
    <x v="12"/>
    <n v="6"/>
    <x v="0"/>
    <x v="1"/>
    <n v="19"/>
    <x v="0"/>
    <x v="4"/>
  </r>
  <r>
    <x v="138"/>
    <n v="48"/>
    <x v="1"/>
    <x v="4"/>
    <x v="0"/>
    <s v="MBA"/>
    <s v="Married"/>
    <x v="138"/>
    <x v="0"/>
    <n v="7"/>
    <x v="0"/>
    <x v="2"/>
    <n v="73"/>
    <x v="0"/>
    <x v="1"/>
  </r>
  <r>
    <x v="139"/>
    <n v="48"/>
    <x v="0"/>
    <x v="0"/>
    <x v="1"/>
    <s v="MBA"/>
    <s v="Married"/>
    <x v="139"/>
    <x v="15"/>
    <n v="8"/>
    <x v="1"/>
    <x v="1"/>
    <n v="81"/>
    <x v="1"/>
    <x v="4"/>
  </r>
  <r>
    <x v="140"/>
    <n v="40"/>
    <x v="1"/>
    <x v="4"/>
    <x v="1"/>
    <s v="Bachelor"/>
    <s v="Married"/>
    <x v="140"/>
    <x v="2"/>
    <n v="6"/>
    <x v="0"/>
    <x v="0"/>
    <n v="55"/>
    <x v="1"/>
    <x v="1"/>
  </r>
  <r>
    <x v="141"/>
    <n v="50"/>
    <x v="1"/>
    <x v="1"/>
    <x v="2"/>
    <s v="Diploma"/>
    <s v="Married"/>
    <x v="141"/>
    <x v="7"/>
    <n v="4"/>
    <x v="0"/>
    <x v="3"/>
    <n v="80"/>
    <x v="0"/>
    <x v="1"/>
  </r>
  <r>
    <x v="142"/>
    <n v="31"/>
    <x v="0"/>
    <x v="2"/>
    <x v="3"/>
    <s v="Diploma"/>
    <s v="Single"/>
    <x v="142"/>
    <x v="16"/>
    <n v="4"/>
    <x v="1"/>
    <x v="1"/>
    <n v="66"/>
    <x v="1"/>
    <x v="3"/>
  </r>
  <r>
    <x v="143"/>
    <n v="48"/>
    <x v="1"/>
    <x v="4"/>
    <x v="3"/>
    <s v="Master"/>
    <s v="Single"/>
    <x v="143"/>
    <x v="12"/>
    <n v="9"/>
    <x v="1"/>
    <x v="0"/>
    <n v="89"/>
    <x v="1"/>
    <x v="4"/>
  </r>
  <r>
    <x v="144"/>
    <n v="45"/>
    <x v="1"/>
    <x v="3"/>
    <x v="3"/>
    <s v="Master"/>
    <s v="Married"/>
    <x v="144"/>
    <x v="8"/>
    <n v="5"/>
    <x v="0"/>
    <x v="3"/>
    <n v="41"/>
    <x v="1"/>
    <x v="4"/>
  </r>
  <r>
    <x v="145"/>
    <n v="59"/>
    <x v="1"/>
    <x v="2"/>
    <x v="2"/>
    <s v="Diploma"/>
    <s v="Single"/>
    <x v="145"/>
    <x v="15"/>
    <n v="4"/>
    <x v="1"/>
    <x v="2"/>
    <n v="10"/>
    <x v="1"/>
    <x v="0"/>
  </r>
  <r>
    <x v="146"/>
    <n v="53"/>
    <x v="0"/>
    <x v="4"/>
    <x v="3"/>
    <s v="Master"/>
    <s v="Married"/>
    <x v="146"/>
    <x v="17"/>
    <n v="8"/>
    <x v="0"/>
    <x v="1"/>
    <n v="75"/>
    <x v="1"/>
    <x v="0"/>
  </r>
  <r>
    <x v="147"/>
    <n v="21"/>
    <x v="0"/>
    <x v="2"/>
    <x v="1"/>
    <s v="Bachelor"/>
    <s v="Single"/>
    <x v="147"/>
    <x v="18"/>
    <n v="2"/>
    <x v="1"/>
    <x v="3"/>
    <n v="30"/>
    <x v="1"/>
    <x v="2"/>
  </r>
  <r>
    <x v="148"/>
    <n v="47"/>
    <x v="0"/>
    <x v="2"/>
    <x v="0"/>
    <s v="Diploma"/>
    <s v="Married"/>
    <x v="148"/>
    <x v="2"/>
    <n v="2"/>
    <x v="1"/>
    <x v="3"/>
    <n v="12"/>
    <x v="1"/>
    <x v="1"/>
  </r>
  <r>
    <x v="149"/>
    <n v="33"/>
    <x v="0"/>
    <x v="2"/>
    <x v="1"/>
    <s v="Master"/>
    <s v="Married"/>
    <x v="149"/>
    <x v="13"/>
    <n v="6"/>
    <x v="1"/>
    <x v="3"/>
    <n v="77"/>
    <x v="0"/>
    <x v="3"/>
  </r>
  <r>
    <x v="150"/>
    <n v="23"/>
    <x v="0"/>
    <x v="1"/>
    <x v="1"/>
    <s v="MBA"/>
    <s v="Married"/>
    <x v="150"/>
    <x v="9"/>
    <n v="6"/>
    <x v="0"/>
    <x v="3"/>
    <n v="95"/>
    <x v="0"/>
    <x v="0"/>
  </r>
  <r>
    <x v="151"/>
    <n v="59"/>
    <x v="0"/>
    <x v="3"/>
    <x v="0"/>
    <s v="Diploma"/>
    <s v="Single"/>
    <x v="151"/>
    <x v="2"/>
    <n v="5"/>
    <x v="0"/>
    <x v="1"/>
    <n v="8"/>
    <x v="0"/>
    <x v="4"/>
  </r>
  <r>
    <x v="152"/>
    <n v="26"/>
    <x v="0"/>
    <x v="5"/>
    <x v="1"/>
    <s v="Diploma"/>
    <s v="Single"/>
    <x v="152"/>
    <x v="16"/>
    <n v="2"/>
    <x v="0"/>
    <x v="3"/>
    <n v="25"/>
    <x v="1"/>
    <x v="2"/>
  </r>
  <r>
    <x v="153"/>
    <n v="28"/>
    <x v="1"/>
    <x v="5"/>
    <x v="2"/>
    <s v="MBA"/>
    <s v="Married"/>
    <x v="153"/>
    <x v="0"/>
    <n v="6"/>
    <x v="1"/>
    <x v="0"/>
    <n v="35"/>
    <x v="1"/>
    <x v="3"/>
  </r>
  <r>
    <x v="154"/>
    <n v="47"/>
    <x v="1"/>
    <x v="4"/>
    <x v="0"/>
    <s v="Bachelor"/>
    <s v="Married"/>
    <x v="154"/>
    <x v="7"/>
    <n v="4"/>
    <x v="1"/>
    <x v="1"/>
    <n v="25"/>
    <x v="0"/>
    <x v="4"/>
  </r>
  <r>
    <x v="155"/>
    <n v="29"/>
    <x v="0"/>
    <x v="2"/>
    <x v="1"/>
    <s v="MBA"/>
    <s v="Single"/>
    <x v="155"/>
    <x v="0"/>
    <n v="6"/>
    <x v="1"/>
    <x v="3"/>
    <n v="29"/>
    <x v="1"/>
    <x v="4"/>
  </r>
  <r>
    <x v="156"/>
    <n v="57"/>
    <x v="1"/>
    <x v="4"/>
    <x v="4"/>
    <s v="Diploma"/>
    <s v="Single"/>
    <x v="156"/>
    <x v="10"/>
    <n v="1"/>
    <x v="1"/>
    <x v="1"/>
    <n v="19"/>
    <x v="1"/>
    <x v="1"/>
  </r>
  <r>
    <x v="157"/>
    <n v="53"/>
    <x v="1"/>
    <x v="1"/>
    <x v="1"/>
    <s v="Bachelor"/>
    <s v="Single"/>
    <x v="157"/>
    <x v="9"/>
    <n v="5"/>
    <x v="0"/>
    <x v="0"/>
    <n v="39"/>
    <x v="0"/>
    <x v="1"/>
  </r>
  <r>
    <x v="158"/>
    <n v="44"/>
    <x v="0"/>
    <x v="1"/>
    <x v="2"/>
    <s v="Master"/>
    <s v="Single"/>
    <x v="158"/>
    <x v="16"/>
    <n v="7"/>
    <x v="0"/>
    <x v="0"/>
    <n v="53"/>
    <x v="0"/>
    <x v="0"/>
  </r>
  <r>
    <x v="159"/>
    <n v="35"/>
    <x v="1"/>
    <x v="0"/>
    <x v="3"/>
    <s v="Master"/>
    <s v="Single"/>
    <x v="159"/>
    <x v="15"/>
    <n v="0"/>
    <x v="0"/>
    <x v="1"/>
    <n v="47"/>
    <x v="0"/>
    <x v="0"/>
  </r>
  <r>
    <x v="160"/>
    <n v="52"/>
    <x v="1"/>
    <x v="1"/>
    <x v="1"/>
    <s v="Master"/>
    <s v="Married"/>
    <x v="160"/>
    <x v="8"/>
    <n v="3"/>
    <x v="1"/>
    <x v="3"/>
    <n v="45"/>
    <x v="1"/>
    <x v="4"/>
  </r>
  <r>
    <x v="161"/>
    <n v="52"/>
    <x v="1"/>
    <x v="0"/>
    <x v="3"/>
    <s v="Diploma"/>
    <s v="Single"/>
    <x v="161"/>
    <x v="4"/>
    <n v="0"/>
    <x v="1"/>
    <x v="3"/>
    <n v="41"/>
    <x v="1"/>
    <x v="4"/>
  </r>
  <r>
    <x v="162"/>
    <n v="44"/>
    <x v="1"/>
    <x v="3"/>
    <x v="4"/>
    <s v="MBA"/>
    <s v="Married"/>
    <x v="162"/>
    <x v="0"/>
    <n v="0"/>
    <x v="0"/>
    <x v="0"/>
    <n v="61"/>
    <x v="1"/>
    <x v="0"/>
  </r>
  <r>
    <x v="163"/>
    <n v="32"/>
    <x v="1"/>
    <x v="4"/>
    <x v="1"/>
    <s v="Bachelor"/>
    <s v="Married"/>
    <x v="163"/>
    <x v="7"/>
    <n v="9"/>
    <x v="1"/>
    <x v="3"/>
    <n v="46"/>
    <x v="0"/>
    <x v="0"/>
  </r>
  <r>
    <x v="164"/>
    <n v="59"/>
    <x v="0"/>
    <x v="3"/>
    <x v="0"/>
    <s v="Master"/>
    <s v="Single"/>
    <x v="164"/>
    <x v="6"/>
    <n v="7"/>
    <x v="0"/>
    <x v="0"/>
    <n v="51"/>
    <x v="0"/>
    <x v="4"/>
  </r>
  <r>
    <x v="165"/>
    <n v="22"/>
    <x v="0"/>
    <x v="1"/>
    <x v="3"/>
    <s v="Bachelor"/>
    <s v="Single"/>
    <x v="165"/>
    <x v="7"/>
    <n v="6"/>
    <x v="1"/>
    <x v="3"/>
    <n v="96"/>
    <x v="1"/>
    <x v="3"/>
  </r>
  <r>
    <x v="166"/>
    <n v="23"/>
    <x v="0"/>
    <x v="3"/>
    <x v="4"/>
    <s v="Diploma"/>
    <s v="Married"/>
    <x v="166"/>
    <x v="11"/>
    <n v="9"/>
    <x v="1"/>
    <x v="0"/>
    <n v="65"/>
    <x v="0"/>
    <x v="4"/>
  </r>
  <r>
    <x v="167"/>
    <n v="57"/>
    <x v="1"/>
    <x v="3"/>
    <x v="0"/>
    <s v="Master"/>
    <s v="Single"/>
    <x v="23"/>
    <x v="11"/>
    <n v="0"/>
    <x v="0"/>
    <x v="2"/>
    <n v="18"/>
    <x v="0"/>
    <x v="3"/>
  </r>
  <r>
    <x v="168"/>
    <n v="37"/>
    <x v="0"/>
    <x v="3"/>
    <x v="0"/>
    <s v="Diploma"/>
    <s v="Married"/>
    <x v="167"/>
    <x v="12"/>
    <n v="1"/>
    <x v="0"/>
    <x v="3"/>
    <n v="72"/>
    <x v="1"/>
    <x v="3"/>
  </r>
  <r>
    <x v="169"/>
    <n v="22"/>
    <x v="1"/>
    <x v="1"/>
    <x v="0"/>
    <s v="MBA"/>
    <s v="Single"/>
    <x v="168"/>
    <x v="9"/>
    <n v="3"/>
    <x v="1"/>
    <x v="3"/>
    <n v="57"/>
    <x v="0"/>
    <x v="4"/>
  </r>
  <r>
    <x v="170"/>
    <n v="22"/>
    <x v="1"/>
    <x v="2"/>
    <x v="0"/>
    <s v="Diploma"/>
    <s v="Single"/>
    <x v="169"/>
    <x v="11"/>
    <n v="0"/>
    <x v="0"/>
    <x v="3"/>
    <n v="88"/>
    <x v="0"/>
    <x v="2"/>
  </r>
  <r>
    <x v="171"/>
    <n v="48"/>
    <x v="1"/>
    <x v="3"/>
    <x v="1"/>
    <s v="Diploma"/>
    <s v="Single"/>
    <x v="170"/>
    <x v="15"/>
    <n v="2"/>
    <x v="0"/>
    <x v="1"/>
    <n v="38"/>
    <x v="0"/>
    <x v="0"/>
  </r>
  <r>
    <x v="172"/>
    <n v="43"/>
    <x v="1"/>
    <x v="0"/>
    <x v="1"/>
    <s v="MBA"/>
    <s v="Married"/>
    <x v="171"/>
    <x v="3"/>
    <n v="7"/>
    <x v="1"/>
    <x v="3"/>
    <n v="80"/>
    <x v="1"/>
    <x v="1"/>
  </r>
  <r>
    <x v="173"/>
    <n v="57"/>
    <x v="0"/>
    <x v="1"/>
    <x v="1"/>
    <s v="Bachelor"/>
    <s v="Single"/>
    <x v="172"/>
    <x v="17"/>
    <n v="7"/>
    <x v="1"/>
    <x v="1"/>
    <n v="28"/>
    <x v="1"/>
    <x v="4"/>
  </r>
  <r>
    <x v="174"/>
    <n v="52"/>
    <x v="0"/>
    <x v="3"/>
    <x v="4"/>
    <s v="MBA"/>
    <s v="Married"/>
    <x v="173"/>
    <x v="2"/>
    <n v="7"/>
    <x v="1"/>
    <x v="1"/>
    <n v="24"/>
    <x v="0"/>
    <x v="3"/>
  </r>
  <r>
    <x v="175"/>
    <n v="53"/>
    <x v="1"/>
    <x v="2"/>
    <x v="4"/>
    <s v="MBA"/>
    <s v="Single"/>
    <x v="174"/>
    <x v="10"/>
    <n v="5"/>
    <x v="0"/>
    <x v="0"/>
    <n v="73"/>
    <x v="1"/>
    <x v="4"/>
  </r>
  <r>
    <x v="176"/>
    <n v="21"/>
    <x v="0"/>
    <x v="1"/>
    <x v="4"/>
    <s v="Diploma"/>
    <s v="Married"/>
    <x v="175"/>
    <x v="16"/>
    <n v="5"/>
    <x v="1"/>
    <x v="1"/>
    <n v="34"/>
    <x v="1"/>
    <x v="0"/>
  </r>
  <r>
    <x v="177"/>
    <n v="39"/>
    <x v="1"/>
    <x v="5"/>
    <x v="2"/>
    <s v="Bachelor"/>
    <s v="Single"/>
    <x v="176"/>
    <x v="18"/>
    <n v="4"/>
    <x v="1"/>
    <x v="1"/>
    <n v="92"/>
    <x v="1"/>
    <x v="3"/>
  </r>
  <r>
    <x v="178"/>
    <n v="22"/>
    <x v="0"/>
    <x v="2"/>
    <x v="4"/>
    <s v="Master"/>
    <s v="Married"/>
    <x v="177"/>
    <x v="12"/>
    <n v="8"/>
    <x v="1"/>
    <x v="2"/>
    <n v="11"/>
    <x v="0"/>
    <x v="1"/>
  </r>
  <r>
    <x v="179"/>
    <n v="46"/>
    <x v="0"/>
    <x v="0"/>
    <x v="1"/>
    <s v="MBA"/>
    <s v="Married"/>
    <x v="178"/>
    <x v="2"/>
    <n v="3"/>
    <x v="1"/>
    <x v="3"/>
    <n v="40"/>
    <x v="1"/>
    <x v="1"/>
  </r>
  <r>
    <x v="180"/>
    <n v="52"/>
    <x v="1"/>
    <x v="3"/>
    <x v="1"/>
    <s v="Bachelor"/>
    <s v="Married"/>
    <x v="179"/>
    <x v="17"/>
    <n v="9"/>
    <x v="1"/>
    <x v="1"/>
    <n v="42"/>
    <x v="0"/>
    <x v="1"/>
  </r>
  <r>
    <x v="181"/>
    <n v="26"/>
    <x v="0"/>
    <x v="5"/>
    <x v="2"/>
    <s v="MBA"/>
    <s v="Married"/>
    <x v="180"/>
    <x v="5"/>
    <n v="6"/>
    <x v="0"/>
    <x v="3"/>
    <n v="84"/>
    <x v="0"/>
    <x v="2"/>
  </r>
  <r>
    <x v="182"/>
    <n v="52"/>
    <x v="1"/>
    <x v="5"/>
    <x v="2"/>
    <s v="MBA"/>
    <s v="Married"/>
    <x v="181"/>
    <x v="0"/>
    <n v="0"/>
    <x v="1"/>
    <x v="1"/>
    <n v="56"/>
    <x v="1"/>
    <x v="3"/>
  </r>
  <r>
    <x v="183"/>
    <n v="24"/>
    <x v="0"/>
    <x v="1"/>
    <x v="4"/>
    <s v="MBA"/>
    <s v="Married"/>
    <x v="182"/>
    <x v="9"/>
    <n v="8"/>
    <x v="1"/>
    <x v="0"/>
    <n v="19"/>
    <x v="0"/>
    <x v="3"/>
  </r>
  <r>
    <x v="184"/>
    <n v="31"/>
    <x v="1"/>
    <x v="5"/>
    <x v="3"/>
    <s v="MBA"/>
    <s v="Single"/>
    <x v="183"/>
    <x v="6"/>
    <n v="6"/>
    <x v="0"/>
    <x v="2"/>
    <n v="50"/>
    <x v="1"/>
    <x v="2"/>
  </r>
  <r>
    <x v="185"/>
    <n v="37"/>
    <x v="1"/>
    <x v="0"/>
    <x v="2"/>
    <s v="Diploma"/>
    <s v="Married"/>
    <x v="184"/>
    <x v="12"/>
    <n v="9"/>
    <x v="1"/>
    <x v="1"/>
    <n v="27"/>
    <x v="1"/>
    <x v="3"/>
  </r>
  <r>
    <x v="186"/>
    <n v="58"/>
    <x v="0"/>
    <x v="0"/>
    <x v="0"/>
    <s v="Bachelor"/>
    <s v="Married"/>
    <x v="185"/>
    <x v="13"/>
    <n v="8"/>
    <x v="1"/>
    <x v="3"/>
    <n v="16"/>
    <x v="0"/>
    <x v="2"/>
  </r>
  <r>
    <x v="187"/>
    <n v="44"/>
    <x v="0"/>
    <x v="4"/>
    <x v="1"/>
    <s v="Bachelor"/>
    <s v="Married"/>
    <x v="186"/>
    <x v="10"/>
    <n v="6"/>
    <x v="0"/>
    <x v="0"/>
    <n v="97"/>
    <x v="0"/>
    <x v="4"/>
  </r>
  <r>
    <x v="188"/>
    <n v="25"/>
    <x v="1"/>
    <x v="0"/>
    <x v="0"/>
    <s v="Bachelor"/>
    <s v="Single"/>
    <x v="187"/>
    <x v="9"/>
    <n v="1"/>
    <x v="1"/>
    <x v="3"/>
    <n v="48"/>
    <x v="1"/>
    <x v="0"/>
  </r>
  <r>
    <x v="189"/>
    <n v="54"/>
    <x v="0"/>
    <x v="2"/>
    <x v="1"/>
    <s v="MBA"/>
    <s v="Single"/>
    <x v="188"/>
    <x v="0"/>
    <n v="5"/>
    <x v="0"/>
    <x v="0"/>
    <n v="19"/>
    <x v="1"/>
    <x v="1"/>
  </r>
  <r>
    <x v="190"/>
    <n v="26"/>
    <x v="0"/>
    <x v="5"/>
    <x v="1"/>
    <s v="Diploma"/>
    <s v="Single"/>
    <x v="189"/>
    <x v="18"/>
    <n v="9"/>
    <x v="1"/>
    <x v="2"/>
    <n v="97"/>
    <x v="1"/>
    <x v="2"/>
  </r>
  <r>
    <x v="191"/>
    <n v="42"/>
    <x v="1"/>
    <x v="0"/>
    <x v="2"/>
    <s v="MBA"/>
    <s v="Married"/>
    <x v="190"/>
    <x v="11"/>
    <n v="3"/>
    <x v="0"/>
    <x v="0"/>
    <n v="53"/>
    <x v="1"/>
    <x v="2"/>
  </r>
  <r>
    <x v="192"/>
    <n v="31"/>
    <x v="1"/>
    <x v="1"/>
    <x v="2"/>
    <s v="MBA"/>
    <s v="Single"/>
    <x v="191"/>
    <x v="11"/>
    <n v="2"/>
    <x v="0"/>
    <x v="3"/>
    <n v="25"/>
    <x v="0"/>
    <x v="2"/>
  </r>
  <r>
    <x v="193"/>
    <n v="36"/>
    <x v="0"/>
    <x v="4"/>
    <x v="0"/>
    <s v="Bachelor"/>
    <s v="Single"/>
    <x v="192"/>
    <x v="18"/>
    <n v="1"/>
    <x v="1"/>
    <x v="3"/>
    <n v="19"/>
    <x v="0"/>
    <x v="4"/>
  </r>
  <r>
    <x v="194"/>
    <n v="53"/>
    <x v="1"/>
    <x v="5"/>
    <x v="1"/>
    <s v="MBA"/>
    <s v="Married"/>
    <x v="193"/>
    <x v="6"/>
    <n v="5"/>
    <x v="0"/>
    <x v="1"/>
    <n v="18"/>
    <x v="0"/>
    <x v="2"/>
  </r>
  <r>
    <x v="195"/>
    <n v="29"/>
    <x v="1"/>
    <x v="4"/>
    <x v="0"/>
    <s v="Master"/>
    <s v="Married"/>
    <x v="194"/>
    <x v="14"/>
    <n v="7"/>
    <x v="0"/>
    <x v="0"/>
    <n v="46"/>
    <x v="1"/>
    <x v="0"/>
  </r>
  <r>
    <x v="196"/>
    <n v="26"/>
    <x v="1"/>
    <x v="5"/>
    <x v="3"/>
    <s v="MBA"/>
    <s v="Single"/>
    <x v="195"/>
    <x v="3"/>
    <n v="5"/>
    <x v="1"/>
    <x v="3"/>
    <n v="84"/>
    <x v="0"/>
    <x v="0"/>
  </r>
  <r>
    <x v="197"/>
    <n v="36"/>
    <x v="0"/>
    <x v="1"/>
    <x v="0"/>
    <s v="Master"/>
    <s v="Married"/>
    <x v="196"/>
    <x v="11"/>
    <n v="8"/>
    <x v="1"/>
    <x v="1"/>
    <n v="19"/>
    <x v="0"/>
    <x v="1"/>
  </r>
  <r>
    <x v="198"/>
    <n v="49"/>
    <x v="0"/>
    <x v="4"/>
    <x v="4"/>
    <s v="MBA"/>
    <s v="Married"/>
    <x v="197"/>
    <x v="15"/>
    <n v="4"/>
    <x v="0"/>
    <x v="2"/>
    <n v="67"/>
    <x v="0"/>
    <x v="4"/>
  </r>
  <r>
    <x v="199"/>
    <n v="23"/>
    <x v="1"/>
    <x v="3"/>
    <x v="0"/>
    <s v="Diploma"/>
    <s v="Married"/>
    <x v="198"/>
    <x v="14"/>
    <n v="1"/>
    <x v="1"/>
    <x v="3"/>
    <n v="72"/>
    <x v="0"/>
    <x v="0"/>
  </r>
  <r>
    <x v="200"/>
    <n v="40"/>
    <x v="0"/>
    <x v="2"/>
    <x v="4"/>
    <s v="Diploma"/>
    <s v="Married"/>
    <x v="199"/>
    <x v="10"/>
    <n v="7"/>
    <x v="0"/>
    <x v="1"/>
    <n v="31"/>
    <x v="1"/>
    <x v="3"/>
  </r>
  <r>
    <x v="201"/>
    <n v="56"/>
    <x v="1"/>
    <x v="2"/>
    <x v="4"/>
    <s v="Bachelor"/>
    <s v="Single"/>
    <x v="200"/>
    <x v="18"/>
    <n v="8"/>
    <x v="0"/>
    <x v="3"/>
    <n v="91"/>
    <x v="0"/>
    <x v="3"/>
  </r>
  <r>
    <x v="202"/>
    <n v="39"/>
    <x v="0"/>
    <x v="5"/>
    <x v="4"/>
    <s v="MBA"/>
    <s v="Married"/>
    <x v="201"/>
    <x v="4"/>
    <n v="9"/>
    <x v="1"/>
    <x v="0"/>
    <n v="97"/>
    <x v="0"/>
    <x v="3"/>
  </r>
  <r>
    <x v="203"/>
    <n v="46"/>
    <x v="1"/>
    <x v="3"/>
    <x v="3"/>
    <s v="Master"/>
    <s v="Single"/>
    <x v="202"/>
    <x v="4"/>
    <n v="3"/>
    <x v="1"/>
    <x v="1"/>
    <n v="57"/>
    <x v="0"/>
    <x v="2"/>
  </r>
  <r>
    <x v="204"/>
    <n v="23"/>
    <x v="1"/>
    <x v="4"/>
    <x v="0"/>
    <s v="Master"/>
    <s v="Single"/>
    <x v="203"/>
    <x v="10"/>
    <n v="5"/>
    <x v="0"/>
    <x v="0"/>
    <n v="56"/>
    <x v="0"/>
    <x v="2"/>
  </r>
  <r>
    <x v="205"/>
    <n v="39"/>
    <x v="0"/>
    <x v="3"/>
    <x v="0"/>
    <s v="MBA"/>
    <s v="Single"/>
    <x v="204"/>
    <x v="0"/>
    <n v="9"/>
    <x v="1"/>
    <x v="2"/>
    <n v="67"/>
    <x v="1"/>
    <x v="3"/>
  </r>
  <r>
    <x v="206"/>
    <n v="40"/>
    <x v="1"/>
    <x v="3"/>
    <x v="3"/>
    <s v="Master"/>
    <s v="Single"/>
    <x v="205"/>
    <x v="17"/>
    <n v="7"/>
    <x v="1"/>
    <x v="0"/>
    <n v="77"/>
    <x v="1"/>
    <x v="1"/>
  </r>
  <r>
    <x v="207"/>
    <n v="52"/>
    <x v="0"/>
    <x v="4"/>
    <x v="1"/>
    <s v="Diploma"/>
    <s v="Married"/>
    <x v="206"/>
    <x v="18"/>
    <n v="8"/>
    <x v="0"/>
    <x v="1"/>
    <n v="57"/>
    <x v="0"/>
    <x v="1"/>
  </r>
  <r>
    <x v="208"/>
    <n v="27"/>
    <x v="0"/>
    <x v="1"/>
    <x v="2"/>
    <s v="Master"/>
    <s v="Married"/>
    <x v="207"/>
    <x v="14"/>
    <n v="4"/>
    <x v="0"/>
    <x v="3"/>
    <n v="61"/>
    <x v="1"/>
    <x v="2"/>
  </r>
  <r>
    <x v="209"/>
    <n v="53"/>
    <x v="1"/>
    <x v="3"/>
    <x v="0"/>
    <s v="Bachelor"/>
    <s v="Married"/>
    <x v="208"/>
    <x v="17"/>
    <n v="5"/>
    <x v="0"/>
    <x v="1"/>
    <n v="56"/>
    <x v="1"/>
    <x v="3"/>
  </r>
  <r>
    <x v="210"/>
    <n v="59"/>
    <x v="1"/>
    <x v="3"/>
    <x v="2"/>
    <s v="Diploma"/>
    <s v="Single"/>
    <x v="209"/>
    <x v="11"/>
    <n v="3"/>
    <x v="0"/>
    <x v="0"/>
    <n v="47"/>
    <x v="1"/>
    <x v="1"/>
  </r>
  <r>
    <x v="211"/>
    <n v="38"/>
    <x v="0"/>
    <x v="1"/>
    <x v="3"/>
    <s v="Diploma"/>
    <s v="Single"/>
    <x v="210"/>
    <x v="17"/>
    <n v="4"/>
    <x v="0"/>
    <x v="0"/>
    <n v="11"/>
    <x v="1"/>
    <x v="2"/>
  </r>
  <r>
    <x v="212"/>
    <n v="21"/>
    <x v="1"/>
    <x v="3"/>
    <x v="1"/>
    <s v="Diploma"/>
    <s v="Single"/>
    <x v="211"/>
    <x v="13"/>
    <n v="6"/>
    <x v="0"/>
    <x v="3"/>
    <n v="46"/>
    <x v="0"/>
    <x v="3"/>
  </r>
  <r>
    <x v="213"/>
    <n v="31"/>
    <x v="1"/>
    <x v="3"/>
    <x v="1"/>
    <s v="MBA"/>
    <s v="Married"/>
    <x v="212"/>
    <x v="16"/>
    <n v="8"/>
    <x v="1"/>
    <x v="2"/>
    <n v="8"/>
    <x v="1"/>
    <x v="4"/>
  </r>
  <r>
    <x v="214"/>
    <n v="48"/>
    <x v="1"/>
    <x v="3"/>
    <x v="1"/>
    <s v="MBA"/>
    <s v="Single"/>
    <x v="213"/>
    <x v="10"/>
    <n v="9"/>
    <x v="0"/>
    <x v="1"/>
    <n v="73"/>
    <x v="1"/>
    <x v="3"/>
  </r>
  <r>
    <x v="215"/>
    <n v="45"/>
    <x v="1"/>
    <x v="2"/>
    <x v="3"/>
    <s v="Diploma"/>
    <s v="Married"/>
    <x v="214"/>
    <x v="5"/>
    <n v="5"/>
    <x v="1"/>
    <x v="3"/>
    <n v="9"/>
    <x v="0"/>
    <x v="3"/>
  </r>
  <r>
    <x v="216"/>
    <n v="43"/>
    <x v="1"/>
    <x v="0"/>
    <x v="4"/>
    <s v="MBA"/>
    <s v="Married"/>
    <x v="215"/>
    <x v="16"/>
    <n v="5"/>
    <x v="1"/>
    <x v="3"/>
    <n v="79"/>
    <x v="0"/>
    <x v="0"/>
  </r>
  <r>
    <x v="217"/>
    <n v="51"/>
    <x v="0"/>
    <x v="1"/>
    <x v="4"/>
    <s v="Master"/>
    <s v="Married"/>
    <x v="216"/>
    <x v="5"/>
    <n v="7"/>
    <x v="0"/>
    <x v="3"/>
    <n v="96"/>
    <x v="0"/>
    <x v="0"/>
  </r>
  <r>
    <x v="218"/>
    <n v="50"/>
    <x v="0"/>
    <x v="3"/>
    <x v="2"/>
    <s v="MBA"/>
    <s v="Married"/>
    <x v="217"/>
    <x v="19"/>
    <n v="3"/>
    <x v="1"/>
    <x v="1"/>
    <n v="84"/>
    <x v="0"/>
    <x v="4"/>
  </r>
  <r>
    <x v="219"/>
    <n v="55"/>
    <x v="1"/>
    <x v="2"/>
    <x v="4"/>
    <s v="MBA"/>
    <s v="Single"/>
    <x v="218"/>
    <x v="8"/>
    <n v="2"/>
    <x v="0"/>
    <x v="1"/>
    <n v="45"/>
    <x v="1"/>
    <x v="4"/>
  </r>
  <r>
    <x v="220"/>
    <n v="27"/>
    <x v="1"/>
    <x v="1"/>
    <x v="4"/>
    <s v="Diploma"/>
    <s v="Married"/>
    <x v="219"/>
    <x v="19"/>
    <n v="6"/>
    <x v="1"/>
    <x v="1"/>
    <n v="98"/>
    <x v="0"/>
    <x v="3"/>
  </r>
  <r>
    <x v="221"/>
    <n v="36"/>
    <x v="1"/>
    <x v="5"/>
    <x v="1"/>
    <s v="Bachelor"/>
    <s v="Single"/>
    <x v="220"/>
    <x v="11"/>
    <n v="4"/>
    <x v="0"/>
    <x v="2"/>
    <n v="8"/>
    <x v="1"/>
    <x v="1"/>
  </r>
  <r>
    <x v="222"/>
    <n v="46"/>
    <x v="0"/>
    <x v="5"/>
    <x v="1"/>
    <s v="Bachelor"/>
    <s v="Married"/>
    <x v="221"/>
    <x v="11"/>
    <n v="1"/>
    <x v="0"/>
    <x v="3"/>
    <n v="6"/>
    <x v="1"/>
    <x v="4"/>
  </r>
  <r>
    <x v="223"/>
    <n v="22"/>
    <x v="1"/>
    <x v="3"/>
    <x v="2"/>
    <s v="Bachelor"/>
    <s v="Single"/>
    <x v="222"/>
    <x v="15"/>
    <n v="1"/>
    <x v="0"/>
    <x v="0"/>
    <n v="71"/>
    <x v="0"/>
    <x v="3"/>
  </r>
  <r>
    <x v="224"/>
    <n v="21"/>
    <x v="0"/>
    <x v="2"/>
    <x v="0"/>
    <s v="Master"/>
    <s v="Single"/>
    <x v="223"/>
    <x v="6"/>
    <n v="5"/>
    <x v="0"/>
    <x v="0"/>
    <n v="25"/>
    <x v="0"/>
    <x v="2"/>
  </r>
  <r>
    <x v="225"/>
    <n v="32"/>
    <x v="0"/>
    <x v="2"/>
    <x v="2"/>
    <s v="MBA"/>
    <s v="Married"/>
    <x v="224"/>
    <x v="5"/>
    <n v="7"/>
    <x v="1"/>
    <x v="3"/>
    <n v="74"/>
    <x v="1"/>
    <x v="0"/>
  </r>
  <r>
    <x v="226"/>
    <n v="25"/>
    <x v="0"/>
    <x v="1"/>
    <x v="2"/>
    <s v="Bachelor"/>
    <s v="Married"/>
    <x v="225"/>
    <x v="2"/>
    <n v="0"/>
    <x v="1"/>
    <x v="0"/>
    <n v="47"/>
    <x v="1"/>
    <x v="1"/>
  </r>
  <r>
    <x v="227"/>
    <n v="57"/>
    <x v="1"/>
    <x v="1"/>
    <x v="3"/>
    <s v="Diploma"/>
    <s v="Married"/>
    <x v="226"/>
    <x v="2"/>
    <n v="5"/>
    <x v="1"/>
    <x v="2"/>
    <n v="86"/>
    <x v="0"/>
    <x v="3"/>
  </r>
  <r>
    <x v="228"/>
    <n v="52"/>
    <x v="0"/>
    <x v="2"/>
    <x v="3"/>
    <s v="Bachelor"/>
    <s v="Single"/>
    <x v="227"/>
    <x v="10"/>
    <n v="1"/>
    <x v="1"/>
    <x v="2"/>
    <n v="73"/>
    <x v="0"/>
    <x v="2"/>
  </r>
  <r>
    <x v="229"/>
    <n v="29"/>
    <x v="1"/>
    <x v="1"/>
    <x v="2"/>
    <s v="Bachelor"/>
    <s v="Married"/>
    <x v="228"/>
    <x v="13"/>
    <n v="1"/>
    <x v="1"/>
    <x v="1"/>
    <n v="13"/>
    <x v="0"/>
    <x v="0"/>
  </r>
  <r>
    <x v="230"/>
    <n v="55"/>
    <x v="0"/>
    <x v="2"/>
    <x v="2"/>
    <s v="MBA"/>
    <s v="Married"/>
    <x v="229"/>
    <x v="10"/>
    <n v="6"/>
    <x v="0"/>
    <x v="1"/>
    <n v="88"/>
    <x v="1"/>
    <x v="2"/>
  </r>
  <r>
    <x v="231"/>
    <n v="39"/>
    <x v="1"/>
    <x v="0"/>
    <x v="2"/>
    <s v="MBA"/>
    <s v="Single"/>
    <x v="230"/>
    <x v="15"/>
    <n v="9"/>
    <x v="0"/>
    <x v="1"/>
    <n v="32"/>
    <x v="1"/>
    <x v="3"/>
  </r>
  <r>
    <x v="232"/>
    <n v="36"/>
    <x v="0"/>
    <x v="2"/>
    <x v="4"/>
    <s v="MBA"/>
    <s v="Married"/>
    <x v="231"/>
    <x v="10"/>
    <n v="0"/>
    <x v="0"/>
    <x v="1"/>
    <n v="30"/>
    <x v="0"/>
    <x v="4"/>
  </r>
  <r>
    <x v="233"/>
    <n v="23"/>
    <x v="1"/>
    <x v="5"/>
    <x v="3"/>
    <s v="Master"/>
    <s v="Single"/>
    <x v="232"/>
    <x v="12"/>
    <n v="5"/>
    <x v="0"/>
    <x v="1"/>
    <n v="86"/>
    <x v="1"/>
    <x v="0"/>
  </r>
  <r>
    <x v="234"/>
    <n v="40"/>
    <x v="0"/>
    <x v="1"/>
    <x v="2"/>
    <s v="Master"/>
    <s v="Married"/>
    <x v="233"/>
    <x v="1"/>
    <n v="6"/>
    <x v="0"/>
    <x v="0"/>
    <n v="87"/>
    <x v="0"/>
    <x v="2"/>
  </r>
  <r>
    <x v="235"/>
    <n v="44"/>
    <x v="1"/>
    <x v="2"/>
    <x v="1"/>
    <s v="Bachelor"/>
    <s v="Single"/>
    <x v="234"/>
    <x v="14"/>
    <n v="7"/>
    <x v="1"/>
    <x v="0"/>
    <n v="7"/>
    <x v="1"/>
    <x v="4"/>
  </r>
  <r>
    <x v="236"/>
    <n v="53"/>
    <x v="1"/>
    <x v="2"/>
    <x v="1"/>
    <s v="MBA"/>
    <s v="Single"/>
    <x v="235"/>
    <x v="3"/>
    <n v="6"/>
    <x v="0"/>
    <x v="1"/>
    <n v="77"/>
    <x v="1"/>
    <x v="1"/>
  </r>
  <r>
    <x v="237"/>
    <n v="44"/>
    <x v="1"/>
    <x v="1"/>
    <x v="4"/>
    <s v="Bachelor"/>
    <s v="Married"/>
    <x v="236"/>
    <x v="10"/>
    <n v="5"/>
    <x v="0"/>
    <x v="2"/>
    <n v="99"/>
    <x v="0"/>
    <x v="3"/>
  </r>
  <r>
    <x v="238"/>
    <n v="31"/>
    <x v="1"/>
    <x v="0"/>
    <x v="4"/>
    <s v="Diploma"/>
    <s v="Single"/>
    <x v="237"/>
    <x v="11"/>
    <n v="8"/>
    <x v="1"/>
    <x v="0"/>
    <n v="53"/>
    <x v="0"/>
    <x v="3"/>
  </r>
  <r>
    <x v="239"/>
    <n v="28"/>
    <x v="0"/>
    <x v="0"/>
    <x v="0"/>
    <s v="Diploma"/>
    <s v="Married"/>
    <x v="238"/>
    <x v="11"/>
    <n v="2"/>
    <x v="1"/>
    <x v="2"/>
    <n v="21"/>
    <x v="0"/>
    <x v="0"/>
  </r>
  <r>
    <x v="240"/>
    <n v="56"/>
    <x v="0"/>
    <x v="1"/>
    <x v="0"/>
    <s v="MBA"/>
    <s v="Married"/>
    <x v="239"/>
    <x v="6"/>
    <n v="5"/>
    <x v="0"/>
    <x v="2"/>
    <n v="67"/>
    <x v="1"/>
    <x v="2"/>
  </r>
  <r>
    <x v="241"/>
    <n v="58"/>
    <x v="1"/>
    <x v="4"/>
    <x v="0"/>
    <s v="MBA"/>
    <s v="Single"/>
    <x v="240"/>
    <x v="19"/>
    <n v="3"/>
    <x v="0"/>
    <x v="3"/>
    <n v="59"/>
    <x v="1"/>
    <x v="1"/>
  </r>
  <r>
    <x v="242"/>
    <n v="40"/>
    <x v="0"/>
    <x v="1"/>
    <x v="4"/>
    <s v="Diploma"/>
    <s v="Married"/>
    <x v="241"/>
    <x v="2"/>
    <n v="1"/>
    <x v="1"/>
    <x v="3"/>
    <n v="27"/>
    <x v="0"/>
    <x v="0"/>
  </r>
  <r>
    <x v="243"/>
    <n v="55"/>
    <x v="1"/>
    <x v="1"/>
    <x v="4"/>
    <s v="MBA"/>
    <s v="Single"/>
    <x v="242"/>
    <x v="12"/>
    <n v="0"/>
    <x v="0"/>
    <x v="1"/>
    <n v="38"/>
    <x v="1"/>
    <x v="0"/>
  </r>
  <r>
    <x v="244"/>
    <n v="45"/>
    <x v="1"/>
    <x v="0"/>
    <x v="4"/>
    <s v="Master"/>
    <s v="Single"/>
    <x v="243"/>
    <x v="12"/>
    <n v="0"/>
    <x v="0"/>
    <x v="2"/>
    <n v="73"/>
    <x v="0"/>
    <x v="2"/>
  </r>
  <r>
    <x v="245"/>
    <n v="55"/>
    <x v="0"/>
    <x v="0"/>
    <x v="1"/>
    <s v="Master"/>
    <s v="Single"/>
    <x v="244"/>
    <x v="5"/>
    <n v="9"/>
    <x v="0"/>
    <x v="0"/>
    <n v="19"/>
    <x v="1"/>
    <x v="1"/>
  </r>
  <r>
    <x v="246"/>
    <n v="45"/>
    <x v="1"/>
    <x v="1"/>
    <x v="4"/>
    <s v="MBA"/>
    <s v="Single"/>
    <x v="245"/>
    <x v="16"/>
    <n v="2"/>
    <x v="1"/>
    <x v="3"/>
    <n v="51"/>
    <x v="0"/>
    <x v="2"/>
  </r>
  <r>
    <x v="247"/>
    <n v="49"/>
    <x v="1"/>
    <x v="1"/>
    <x v="1"/>
    <s v="Diploma"/>
    <s v="Single"/>
    <x v="246"/>
    <x v="11"/>
    <n v="3"/>
    <x v="0"/>
    <x v="3"/>
    <n v="7"/>
    <x v="1"/>
    <x v="3"/>
  </r>
  <r>
    <x v="248"/>
    <n v="38"/>
    <x v="0"/>
    <x v="1"/>
    <x v="0"/>
    <s v="Bachelor"/>
    <s v="Single"/>
    <x v="247"/>
    <x v="14"/>
    <n v="1"/>
    <x v="0"/>
    <x v="2"/>
    <n v="87"/>
    <x v="1"/>
    <x v="4"/>
  </r>
  <r>
    <x v="249"/>
    <n v="38"/>
    <x v="1"/>
    <x v="0"/>
    <x v="0"/>
    <s v="MBA"/>
    <s v="Single"/>
    <x v="248"/>
    <x v="19"/>
    <n v="0"/>
    <x v="1"/>
    <x v="3"/>
    <n v="32"/>
    <x v="1"/>
    <x v="3"/>
  </r>
  <r>
    <x v="250"/>
    <n v="22"/>
    <x v="1"/>
    <x v="1"/>
    <x v="0"/>
    <s v="MBA"/>
    <s v="Single"/>
    <x v="249"/>
    <x v="10"/>
    <n v="3"/>
    <x v="1"/>
    <x v="3"/>
    <n v="7"/>
    <x v="1"/>
    <x v="3"/>
  </r>
  <r>
    <x v="251"/>
    <n v="55"/>
    <x v="1"/>
    <x v="1"/>
    <x v="2"/>
    <s v="Bachelor"/>
    <s v="Married"/>
    <x v="250"/>
    <x v="2"/>
    <n v="6"/>
    <x v="1"/>
    <x v="0"/>
    <n v="8"/>
    <x v="0"/>
    <x v="0"/>
  </r>
  <r>
    <x v="252"/>
    <n v="36"/>
    <x v="1"/>
    <x v="3"/>
    <x v="2"/>
    <s v="MBA"/>
    <s v="Married"/>
    <x v="251"/>
    <x v="10"/>
    <n v="9"/>
    <x v="0"/>
    <x v="2"/>
    <n v="92"/>
    <x v="1"/>
    <x v="3"/>
  </r>
  <r>
    <x v="253"/>
    <n v="56"/>
    <x v="0"/>
    <x v="4"/>
    <x v="3"/>
    <s v="Bachelor"/>
    <s v="Single"/>
    <x v="252"/>
    <x v="16"/>
    <n v="5"/>
    <x v="1"/>
    <x v="3"/>
    <n v="35"/>
    <x v="0"/>
    <x v="1"/>
  </r>
  <r>
    <x v="254"/>
    <n v="53"/>
    <x v="0"/>
    <x v="5"/>
    <x v="3"/>
    <s v="Diploma"/>
    <s v="Married"/>
    <x v="253"/>
    <x v="0"/>
    <n v="5"/>
    <x v="0"/>
    <x v="2"/>
    <n v="49"/>
    <x v="0"/>
    <x v="3"/>
  </r>
  <r>
    <x v="255"/>
    <n v="24"/>
    <x v="0"/>
    <x v="4"/>
    <x v="3"/>
    <s v="Master"/>
    <s v="Married"/>
    <x v="254"/>
    <x v="13"/>
    <n v="8"/>
    <x v="1"/>
    <x v="3"/>
    <n v="63"/>
    <x v="0"/>
    <x v="1"/>
  </r>
  <r>
    <x v="256"/>
    <n v="53"/>
    <x v="1"/>
    <x v="3"/>
    <x v="2"/>
    <s v="Diploma"/>
    <s v="Married"/>
    <x v="255"/>
    <x v="5"/>
    <n v="1"/>
    <x v="0"/>
    <x v="0"/>
    <n v="49"/>
    <x v="0"/>
    <x v="2"/>
  </r>
  <r>
    <x v="257"/>
    <n v="34"/>
    <x v="1"/>
    <x v="5"/>
    <x v="2"/>
    <s v="Master"/>
    <s v="Married"/>
    <x v="256"/>
    <x v="16"/>
    <n v="3"/>
    <x v="1"/>
    <x v="2"/>
    <n v="79"/>
    <x v="1"/>
    <x v="0"/>
  </r>
  <r>
    <x v="258"/>
    <n v="41"/>
    <x v="0"/>
    <x v="1"/>
    <x v="3"/>
    <s v="Bachelor"/>
    <s v="Married"/>
    <x v="257"/>
    <x v="7"/>
    <n v="4"/>
    <x v="0"/>
    <x v="3"/>
    <n v="41"/>
    <x v="0"/>
    <x v="1"/>
  </r>
  <r>
    <x v="259"/>
    <n v="40"/>
    <x v="1"/>
    <x v="3"/>
    <x v="3"/>
    <s v="Master"/>
    <s v="Married"/>
    <x v="258"/>
    <x v="3"/>
    <n v="0"/>
    <x v="0"/>
    <x v="0"/>
    <n v="69"/>
    <x v="1"/>
    <x v="3"/>
  </r>
  <r>
    <x v="260"/>
    <n v="28"/>
    <x v="1"/>
    <x v="1"/>
    <x v="4"/>
    <s v="Diploma"/>
    <s v="Single"/>
    <x v="259"/>
    <x v="15"/>
    <n v="7"/>
    <x v="1"/>
    <x v="3"/>
    <n v="13"/>
    <x v="1"/>
    <x v="0"/>
  </r>
  <r>
    <x v="261"/>
    <n v="27"/>
    <x v="1"/>
    <x v="0"/>
    <x v="3"/>
    <s v="Master"/>
    <s v="Married"/>
    <x v="260"/>
    <x v="2"/>
    <n v="7"/>
    <x v="1"/>
    <x v="2"/>
    <n v="21"/>
    <x v="1"/>
    <x v="0"/>
  </r>
  <r>
    <x v="262"/>
    <n v="23"/>
    <x v="1"/>
    <x v="2"/>
    <x v="4"/>
    <s v="Bachelor"/>
    <s v="Married"/>
    <x v="261"/>
    <x v="2"/>
    <n v="5"/>
    <x v="0"/>
    <x v="3"/>
    <n v="69"/>
    <x v="1"/>
    <x v="1"/>
  </r>
  <r>
    <x v="263"/>
    <n v="37"/>
    <x v="0"/>
    <x v="3"/>
    <x v="1"/>
    <s v="Master"/>
    <s v="Married"/>
    <x v="262"/>
    <x v="17"/>
    <n v="4"/>
    <x v="1"/>
    <x v="2"/>
    <n v="7"/>
    <x v="0"/>
    <x v="1"/>
  </r>
  <r>
    <x v="264"/>
    <n v="53"/>
    <x v="0"/>
    <x v="0"/>
    <x v="2"/>
    <s v="MBA"/>
    <s v="Married"/>
    <x v="263"/>
    <x v="10"/>
    <n v="7"/>
    <x v="0"/>
    <x v="2"/>
    <n v="30"/>
    <x v="1"/>
    <x v="4"/>
  </r>
  <r>
    <x v="265"/>
    <n v="32"/>
    <x v="0"/>
    <x v="3"/>
    <x v="3"/>
    <s v="Diploma"/>
    <s v="Single"/>
    <x v="264"/>
    <x v="19"/>
    <n v="2"/>
    <x v="1"/>
    <x v="3"/>
    <n v="57"/>
    <x v="0"/>
    <x v="4"/>
  </r>
  <r>
    <x v="266"/>
    <n v="42"/>
    <x v="1"/>
    <x v="3"/>
    <x v="2"/>
    <s v="MBA"/>
    <s v="Single"/>
    <x v="265"/>
    <x v="0"/>
    <n v="2"/>
    <x v="1"/>
    <x v="0"/>
    <n v="35"/>
    <x v="1"/>
    <x v="0"/>
  </r>
  <r>
    <x v="267"/>
    <n v="42"/>
    <x v="0"/>
    <x v="0"/>
    <x v="2"/>
    <s v="Bachelor"/>
    <s v="Single"/>
    <x v="266"/>
    <x v="4"/>
    <n v="1"/>
    <x v="0"/>
    <x v="1"/>
    <n v="30"/>
    <x v="1"/>
    <x v="4"/>
  </r>
  <r>
    <x v="268"/>
    <n v="50"/>
    <x v="0"/>
    <x v="5"/>
    <x v="2"/>
    <s v="Master"/>
    <s v="Single"/>
    <x v="267"/>
    <x v="0"/>
    <n v="4"/>
    <x v="1"/>
    <x v="0"/>
    <n v="27"/>
    <x v="0"/>
    <x v="3"/>
  </r>
  <r>
    <x v="269"/>
    <n v="58"/>
    <x v="1"/>
    <x v="4"/>
    <x v="1"/>
    <s v="MBA"/>
    <s v="Married"/>
    <x v="268"/>
    <x v="0"/>
    <n v="2"/>
    <x v="1"/>
    <x v="0"/>
    <n v="34"/>
    <x v="1"/>
    <x v="2"/>
  </r>
  <r>
    <x v="270"/>
    <n v="58"/>
    <x v="1"/>
    <x v="1"/>
    <x v="0"/>
    <s v="MBA"/>
    <s v="Single"/>
    <x v="269"/>
    <x v="16"/>
    <n v="2"/>
    <x v="0"/>
    <x v="3"/>
    <n v="14"/>
    <x v="1"/>
    <x v="0"/>
  </r>
  <r>
    <x v="271"/>
    <n v="28"/>
    <x v="0"/>
    <x v="3"/>
    <x v="3"/>
    <s v="Master"/>
    <s v="Single"/>
    <x v="270"/>
    <x v="5"/>
    <n v="5"/>
    <x v="0"/>
    <x v="0"/>
    <n v="76"/>
    <x v="1"/>
    <x v="2"/>
  </r>
  <r>
    <x v="272"/>
    <n v="47"/>
    <x v="0"/>
    <x v="1"/>
    <x v="0"/>
    <s v="Master"/>
    <s v="Single"/>
    <x v="271"/>
    <x v="8"/>
    <n v="7"/>
    <x v="1"/>
    <x v="0"/>
    <n v="93"/>
    <x v="1"/>
    <x v="4"/>
  </r>
  <r>
    <x v="273"/>
    <n v="47"/>
    <x v="0"/>
    <x v="2"/>
    <x v="0"/>
    <s v="Diploma"/>
    <s v="Single"/>
    <x v="272"/>
    <x v="17"/>
    <n v="1"/>
    <x v="0"/>
    <x v="1"/>
    <n v="68"/>
    <x v="1"/>
    <x v="1"/>
  </r>
  <r>
    <x v="274"/>
    <n v="54"/>
    <x v="0"/>
    <x v="0"/>
    <x v="0"/>
    <s v="MBA"/>
    <s v="Married"/>
    <x v="273"/>
    <x v="14"/>
    <n v="3"/>
    <x v="1"/>
    <x v="0"/>
    <n v="26"/>
    <x v="0"/>
    <x v="0"/>
  </r>
  <r>
    <x v="275"/>
    <n v="41"/>
    <x v="1"/>
    <x v="1"/>
    <x v="2"/>
    <s v="MBA"/>
    <s v="Single"/>
    <x v="274"/>
    <x v="6"/>
    <n v="6"/>
    <x v="1"/>
    <x v="1"/>
    <n v="19"/>
    <x v="1"/>
    <x v="4"/>
  </r>
  <r>
    <x v="276"/>
    <n v="50"/>
    <x v="0"/>
    <x v="0"/>
    <x v="4"/>
    <s v="Bachelor"/>
    <s v="Married"/>
    <x v="275"/>
    <x v="17"/>
    <n v="0"/>
    <x v="0"/>
    <x v="3"/>
    <n v="60"/>
    <x v="1"/>
    <x v="3"/>
  </r>
  <r>
    <x v="277"/>
    <n v="53"/>
    <x v="0"/>
    <x v="1"/>
    <x v="2"/>
    <s v="Diploma"/>
    <s v="Single"/>
    <x v="276"/>
    <x v="5"/>
    <n v="0"/>
    <x v="0"/>
    <x v="1"/>
    <n v="78"/>
    <x v="0"/>
    <x v="0"/>
  </r>
  <r>
    <x v="278"/>
    <n v="48"/>
    <x v="1"/>
    <x v="4"/>
    <x v="2"/>
    <s v="Bachelor"/>
    <s v="Married"/>
    <x v="277"/>
    <x v="1"/>
    <n v="9"/>
    <x v="0"/>
    <x v="2"/>
    <n v="24"/>
    <x v="1"/>
    <x v="0"/>
  </r>
  <r>
    <x v="279"/>
    <n v="53"/>
    <x v="0"/>
    <x v="4"/>
    <x v="0"/>
    <s v="MBA"/>
    <s v="Married"/>
    <x v="278"/>
    <x v="7"/>
    <n v="6"/>
    <x v="0"/>
    <x v="2"/>
    <n v="51"/>
    <x v="0"/>
    <x v="1"/>
  </r>
  <r>
    <x v="280"/>
    <n v="25"/>
    <x v="1"/>
    <x v="4"/>
    <x v="2"/>
    <s v="Bachelor"/>
    <s v="Single"/>
    <x v="279"/>
    <x v="8"/>
    <n v="6"/>
    <x v="0"/>
    <x v="1"/>
    <n v="91"/>
    <x v="1"/>
    <x v="0"/>
  </r>
  <r>
    <x v="281"/>
    <n v="39"/>
    <x v="1"/>
    <x v="4"/>
    <x v="0"/>
    <s v="MBA"/>
    <s v="Single"/>
    <x v="280"/>
    <x v="6"/>
    <n v="0"/>
    <x v="0"/>
    <x v="2"/>
    <n v="57"/>
    <x v="1"/>
    <x v="1"/>
  </r>
  <r>
    <x v="282"/>
    <n v="24"/>
    <x v="1"/>
    <x v="4"/>
    <x v="4"/>
    <s v="MBA"/>
    <s v="Single"/>
    <x v="281"/>
    <x v="2"/>
    <n v="0"/>
    <x v="1"/>
    <x v="3"/>
    <n v="57"/>
    <x v="0"/>
    <x v="4"/>
  </r>
  <r>
    <x v="283"/>
    <n v="55"/>
    <x v="0"/>
    <x v="4"/>
    <x v="3"/>
    <s v="Bachelor"/>
    <s v="Single"/>
    <x v="282"/>
    <x v="7"/>
    <n v="3"/>
    <x v="1"/>
    <x v="2"/>
    <n v="5"/>
    <x v="1"/>
    <x v="3"/>
  </r>
  <r>
    <x v="284"/>
    <n v="37"/>
    <x v="0"/>
    <x v="0"/>
    <x v="0"/>
    <s v="Bachelor"/>
    <s v="Married"/>
    <x v="283"/>
    <x v="0"/>
    <n v="4"/>
    <x v="0"/>
    <x v="1"/>
    <n v="6"/>
    <x v="1"/>
    <x v="3"/>
  </r>
  <r>
    <x v="285"/>
    <n v="48"/>
    <x v="1"/>
    <x v="3"/>
    <x v="4"/>
    <s v="Master"/>
    <s v="Married"/>
    <x v="284"/>
    <x v="6"/>
    <n v="4"/>
    <x v="1"/>
    <x v="3"/>
    <n v="62"/>
    <x v="0"/>
    <x v="0"/>
  </r>
  <r>
    <x v="286"/>
    <n v="50"/>
    <x v="0"/>
    <x v="1"/>
    <x v="3"/>
    <s v="Master"/>
    <s v="Single"/>
    <x v="285"/>
    <x v="9"/>
    <n v="3"/>
    <x v="1"/>
    <x v="2"/>
    <n v="23"/>
    <x v="0"/>
    <x v="0"/>
  </r>
  <r>
    <x v="287"/>
    <n v="49"/>
    <x v="0"/>
    <x v="4"/>
    <x v="1"/>
    <s v="Master"/>
    <s v="Single"/>
    <x v="286"/>
    <x v="12"/>
    <n v="7"/>
    <x v="1"/>
    <x v="3"/>
    <n v="66"/>
    <x v="1"/>
    <x v="4"/>
  </r>
  <r>
    <x v="288"/>
    <n v="26"/>
    <x v="1"/>
    <x v="0"/>
    <x v="0"/>
    <s v="MBA"/>
    <s v="Married"/>
    <x v="287"/>
    <x v="8"/>
    <n v="6"/>
    <x v="1"/>
    <x v="1"/>
    <n v="82"/>
    <x v="0"/>
    <x v="1"/>
  </r>
  <r>
    <x v="289"/>
    <n v="55"/>
    <x v="1"/>
    <x v="0"/>
    <x v="0"/>
    <s v="Bachelor"/>
    <s v="Single"/>
    <x v="288"/>
    <x v="12"/>
    <n v="8"/>
    <x v="0"/>
    <x v="2"/>
    <n v="76"/>
    <x v="1"/>
    <x v="3"/>
  </r>
  <r>
    <x v="290"/>
    <n v="57"/>
    <x v="0"/>
    <x v="0"/>
    <x v="1"/>
    <s v="Diploma"/>
    <s v="Married"/>
    <x v="289"/>
    <x v="3"/>
    <n v="6"/>
    <x v="1"/>
    <x v="3"/>
    <n v="16"/>
    <x v="0"/>
    <x v="1"/>
  </r>
  <r>
    <x v="291"/>
    <n v="44"/>
    <x v="1"/>
    <x v="3"/>
    <x v="1"/>
    <s v="MBA"/>
    <s v="Single"/>
    <x v="290"/>
    <x v="15"/>
    <n v="9"/>
    <x v="1"/>
    <x v="3"/>
    <n v="30"/>
    <x v="1"/>
    <x v="4"/>
  </r>
  <r>
    <x v="292"/>
    <n v="49"/>
    <x v="0"/>
    <x v="1"/>
    <x v="0"/>
    <s v="Diploma"/>
    <s v="Married"/>
    <x v="291"/>
    <x v="7"/>
    <n v="0"/>
    <x v="0"/>
    <x v="2"/>
    <n v="31"/>
    <x v="0"/>
    <x v="3"/>
  </r>
  <r>
    <x v="293"/>
    <n v="51"/>
    <x v="0"/>
    <x v="3"/>
    <x v="1"/>
    <s v="Bachelor"/>
    <s v="Married"/>
    <x v="292"/>
    <x v="1"/>
    <n v="6"/>
    <x v="0"/>
    <x v="3"/>
    <n v="33"/>
    <x v="0"/>
    <x v="3"/>
  </r>
  <r>
    <x v="294"/>
    <n v="55"/>
    <x v="0"/>
    <x v="5"/>
    <x v="2"/>
    <s v="MBA"/>
    <s v="Married"/>
    <x v="293"/>
    <x v="3"/>
    <n v="0"/>
    <x v="0"/>
    <x v="3"/>
    <n v="19"/>
    <x v="0"/>
    <x v="2"/>
  </r>
  <r>
    <x v="295"/>
    <n v="53"/>
    <x v="0"/>
    <x v="0"/>
    <x v="3"/>
    <s v="Diploma"/>
    <s v="Married"/>
    <x v="294"/>
    <x v="0"/>
    <n v="6"/>
    <x v="0"/>
    <x v="1"/>
    <n v="50"/>
    <x v="0"/>
    <x v="4"/>
  </r>
  <r>
    <x v="296"/>
    <n v="41"/>
    <x v="1"/>
    <x v="5"/>
    <x v="3"/>
    <s v="Diploma"/>
    <s v="Married"/>
    <x v="295"/>
    <x v="11"/>
    <n v="9"/>
    <x v="1"/>
    <x v="1"/>
    <n v="5"/>
    <x v="0"/>
    <x v="4"/>
  </r>
  <r>
    <x v="297"/>
    <n v="52"/>
    <x v="1"/>
    <x v="2"/>
    <x v="3"/>
    <s v="Master"/>
    <s v="Single"/>
    <x v="296"/>
    <x v="16"/>
    <n v="7"/>
    <x v="0"/>
    <x v="1"/>
    <n v="64"/>
    <x v="0"/>
    <x v="2"/>
  </r>
  <r>
    <x v="298"/>
    <n v="43"/>
    <x v="1"/>
    <x v="4"/>
    <x v="2"/>
    <s v="Master"/>
    <s v="Married"/>
    <x v="297"/>
    <x v="16"/>
    <n v="8"/>
    <x v="1"/>
    <x v="1"/>
    <n v="96"/>
    <x v="0"/>
    <x v="1"/>
  </r>
  <r>
    <x v="299"/>
    <n v="53"/>
    <x v="1"/>
    <x v="4"/>
    <x v="1"/>
    <s v="Master"/>
    <s v="Single"/>
    <x v="298"/>
    <x v="10"/>
    <n v="2"/>
    <x v="1"/>
    <x v="1"/>
    <n v="61"/>
    <x v="0"/>
    <x v="2"/>
  </r>
  <r>
    <x v="300"/>
    <n v="23"/>
    <x v="0"/>
    <x v="3"/>
    <x v="4"/>
    <s v="MBA"/>
    <s v="Married"/>
    <x v="299"/>
    <x v="13"/>
    <n v="3"/>
    <x v="0"/>
    <x v="1"/>
    <n v="7"/>
    <x v="0"/>
    <x v="4"/>
  </r>
  <r>
    <x v="301"/>
    <n v="38"/>
    <x v="0"/>
    <x v="1"/>
    <x v="1"/>
    <s v="Bachelor"/>
    <s v="Married"/>
    <x v="300"/>
    <x v="3"/>
    <n v="3"/>
    <x v="0"/>
    <x v="2"/>
    <n v="22"/>
    <x v="1"/>
    <x v="1"/>
  </r>
  <r>
    <x v="302"/>
    <n v="45"/>
    <x v="1"/>
    <x v="5"/>
    <x v="0"/>
    <s v="Bachelor"/>
    <s v="Single"/>
    <x v="301"/>
    <x v="6"/>
    <n v="8"/>
    <x v="0"/>
    <x v="1"/>
    <n v="56"/>
    <x v="0"/>
    <x v="3"/>
  </r>
  <r>
    <x v="303"/>
    <n v="51"/>
    <x v="0"/>
    <x v="1"/>
    <x v="3"/>
    <s v="Master"/>
    <s v="Single"/>
    <x v="302"/>
    <x v="2"/>
    <n v="6"/>
    <x v="0"/>
    <x v="3"/>
    <n v="64"/>
    <x v="1"/>
    <x v="2"/>
  </r>
  <r>
    <x v="304"/>
    <n v="23"/>
    <x v="0"/>
    <x v="3"/>
    <x v="1"/>
    <s v="Master"/>
    <s v="Single"/>
    <x v="303"/>
    <x v="10"/>
    <n v="2"/>
    <x v="0"/>
    <x v="2"/>
    <n v="38"/>
    <x v="0"/>
    <x v="1"/>
  </r>
  <r>
    <x v="305"/>
    <n v="44"/>
    <x v="0"/>
    <x v="4"/>
    <x v="4"/>
    <s v="Master"/>
    <s v="Single"/>
    <x v="304"/>
    <x v="5"/>
    <n v="9"/>
    <x v="0"/>
    <x v="3"/>
    <n v="97"/>
    <x v="1"/>
    <x v="1"/>
  </r>
  <r>
    <x v="306"/>
    <n v="52"/>
    <x v="1"/>
    <x v="1"/>
    <x v="0"/>
    <s v="Diploma"/>
    <s v="Married"/>
    <x v="305"/>
    <x v="10"/>
    <n v="4"/>
    <x v="1"/>
    <x v="1"/>
    <n v="93"/>
    <x v="1"/>
    <x v="1"/>
  </r>
  <r>
    <x v="307"/>
    <n v="42"/>
    <x v="1"/>
    <x v="1"/>
    <x v="2"/>
    <s v="Master"/>
    <s v="Single"/>
    <x v="306"/>
    <x v="2"/>
    <n v="6"/>
    <x v="1"/>
    <x v="1"/>
    <n v="64"/>
    <x v="0"/>
    <x v="2"/>
  </r>
  <r>
    <x v="308"/>
    <n v="43"/>
    <x v="1"/>
    <x v="4"/>
    <x v="2"/>
    <s v="Diploma"/>
    <s v="Married"/>
    <x v="307"/>
    <x v="12"/>
    <n v="7"/>
    <x v="1"/>
    <x v="3"/>
    <n v="30"/>
    <x v="0"/>
    <x v="3"/>
  </r>
  <r>
    <x v="309"/>
    <n v="22"/>
    <x v="0"/>
    <x v="5"/>
    <x v="4"/>
    <s v="Bachelor"/>
    <s v="Single"/>
    <x v="308"/>
    <x v="8"/>
    <n v="0"/>
    <x v="1"/>
    <x v="3"/>
    <n v="76"/>
    <x v="1"/>
    <x v="1"/>
  </r>
  <r>
    <x v="310"/>
    <n v="47"/>
    <x v="1"/>
    <x v="4"/>
    <x v="0"/>
    <s v="MBA"/>
    <s v="Single"/>
    <x v="309"/>
    <x v="0"/>
    <n v="1"/>
    <x v="0"/>
    <x v="3"/>
    <n v="23"/>
    <x v="1"/>
    <x v="2"/>
  </r>
  <r>
    <x v="311"/>
    <n v="22"/>
    <x v="1"/>
    <x v="1"/>
    <x v="3"/>
    <s v="MBA"/>
    <s v="Married"/>
    <x v="310"/>
    <x v="6"/>
    <n v="6"/>
    <x v="0"/>
    <x v="0"/>
    <n v="26"/>
    <x v="0"/>
    <x v="4"/>
  </r>
  <r>
    <x v="312"/>
    <n v="46"/>
    <x v="1"/>
    <x v="5"/>
    <x v="1"/>
    <s v="MBA"/>
    <s v="Married"/>
    <x v="311"/>
    <x v="16"/>
    <n v="1"/>
    <x v="1"/>
    <x v="0"/>
    <n v="97"/>
    <x v="0"/>
    <x v="2"/>
  </r>
  <r>
    <x v="313"/>
    <n v="37"/>
    <x v="1"/>
    <x v="5"/>
    <x v="0"/>
    <s v="MBA"/>
    <s v="Single"/>
    <x v="312"/>
    <x v="8"/>
    <n v="6"/>
    <x v="1"/>
    <x v="0"/>
    <n v="37"/>
    <x v="0"/>
    <x v="2"/>
  </r>
  <r>
    <x v="314"/>
    <n v="53"/>
    <x v="1"/>
    <x v="4"/>
    <x v="2"/>
    <s v="Diploma"/>
    <s v="Married"/>
    <x v="313"/>
    <x v="3"/>
    <n v="8"/>
    <x v="1"/>
    <x v="0"/>
    <n v="42"/>
    <x v="1"/>
    <x v="2"/>
  </r>
  <r>
    <x v="315"/>
    <n v="29"/>
    <x v="1"/>
    <x v="1"/>
    <x v="4"/>
    <s v="Diploma"/>
    <s v="Married"/>
    <x v="314"/>
    <x v="9"/>
    <n v="1"/>
    <x v="0"/>
    <x v="2"/>
    <n v="39"/>
    <x v="0"/>
    <x v="1"/>
  </r>
  <r>
    <x v="316"/>
    <n v="59"/>
    <x v="0"/>
    <x v="3"/>
    <x v="4"/>
    <s v="Master"/>
    <s v="Married"/>
    <x v="315"/>
    <x v="13"/>
    <n v="6"/>
    <x v="0"/>
    <x v="1"/>
    <n v="71"/>
    <x v="0"/>
    <x v="2"/>
  </r>
  <r>
    <x v="317"/>
    <n v="49"/>
    <x v="0"/>
    <x v="1"/>
    <x v="1"/>
    <s v="Diploma"/>
    <s v="Married"/>
    <x v="316"/>
    <x v="9"/>
    <n v="3"/>
    <x v="0"/>
    <x v="3"/>
    <n v="87"/>
    <x v="0"/>
    <x v="4"/>
  </r>
  <r>
    <x v="318"/>
    <n v="46"/>
    <x v="1"/>
    <x v="0"/>
    <x v="4"/>
    <s v="Master"/>
    <s v="Married"/>
    <x v="317"/>
    <x v="2"/>
    <n v="1"/>
    <x v="1"/>
    <x v="1"/>
    <n v="14"/>
    <x v="0"/>
    <x v="1"/>
  </r>
  <r>
    <x v="319"/>
    <n v="55"/>
    <x v="1"/>
    <x v="2"/>
    <x v="4"/>
    <s v="Master"/>
    <s v="Married"/>
    <x v="318"/>
    <x v="18"/>
    <n v="6"/>
    <x v="1"/>
    <x v="3"/>
    <n v="95"/>
    <x v="0"/>
    <x v="4"/>
  </r>
  <r>
    <x v="320"/>
    <n v="45"/>
    <x v="0"/>
    <x v="3"/>
    <x v="0"/>
    <s v="MBA"/>
    <s v="Married"/>
    <x v="319"/>
    <x v="11"/>
    <n v="4"/>
    <x v="0"/>
    <x v="1"/>
    <n v="19"/>
    <x v="1"/>
    <x v="0"/>
  </r>
  <r>
    <x v="321"/>
    <n v="44"/>
    <x v="0"/>
    <x v="5"/>
    <x v="3"/>
    <s v="Diploma"/>
    <s v="Married"/>
    <x v="320"/>
    <x v="5"/>
    <n v="0"/>
    <x v="0"/>
    <x v="2"/>
    <n v="15"/>
    <x v="1"/>
    <x v="2"/>
  </r>
  <r>
    <x v="322"/>
    <n v="33"/>
    <x v="1"/>
    <x v="3"/>
    <x v="1"/>
    <s v="Diploma"/>
    <s v="Single"/>
    <x v="321"/>
    <x v="19"/>
    <n v="4"/>
    <x v="1"/>
    <x v="0"/>
    <n v="94"/>
    <x v="0"/>
    <x v="1"/>
  </r>
  <r>
    <x v="323"/>
    <n v="27"/>
    <x v="1"/>
    <x v="5"/>
    <x v="0"/>
    <s v="Master"/>
    <s v="Married"/>
    <x v="322"/>
    <x v="1"/>
    <n v="2"/>
    <x v="1"/>
    <x v="1"/>
    <n v="28"/>
    <x v="0"/>
    <x v="1"/>
  </r>
  <r>
    <x v="324"/>
    <n v="56"/>
    <x v="1"/>
    <x v="5"/>
    <x v="3"/>
    <s v="Master"/>
    <s v="Single"/>
    <x v="323"/>
    <x v="0"/>
    <n v="6"/>
    <x v="0"/>
    <x v="3"/>
    <n v="81"/>
    <x v="1"/>
    <x v="2"/>
  </r>
  <r>
    <x v="325"/>
    <n v="40"/>
    <x v="1"/>
    <x v="3"/>
    <x v="0"/>
    <s v="Bachelor"/>
    <s v="Married"/>
    <x v="324"/>
    <x v="19"/>
    <n v="5"/>
    <x v="1"/>
    <x v="1"/>
    <n v="8"/>
    <x v="0"/>
    <x v="3"/>
  </r>
  <r>
    <x v="326"/>
    <n v="21"/>
    <x v="0"/>
    <x v="5"/>
    <x v="0"/>
    <s v="Bachelor"/>
    <s v="Married"/>
    <x v="325"/>
    <x v="1"/>
    <n v="7"/>
    <x v="0"/>
    <x v="2"/>
    <n v="17"/>
    <x v="1"/>
    <x v="3"/>
  </r>
  <r>
    <x v="327"/>
    <n v="28"/>
    <x v="1"/>
    <x v="5"/>
    <x v="4"/>
    <s v="Master"/>
    <s v="Married"/>
    <x v="326"/>
    <x v="2"/>
    <n v="4"/>
    <x v="0"/>
    <x v="2"/>
    <n v="77"/>
    <x v="0"/>
    <x v="4"/>
  </r>
  <r>
    <x v="328"/>
    <n v="36"/>
    <x v="1"/>
    <x v="0"/>
    <x v="3"/>
    <s v="Bachelor"/>
    <s v="Married"/>
    <x v="327"/>
    <x v="0"/>
    <n v="1"/>
    <x v="1"/>
    <x v="1"/>
    <n v="61"/>
    <x v="1"/>
    <x v="2"/>
  </r>
  <r>
    <x v="329"/>
    <n v="34"/>
    <x v="1"/>
    <x v="1"/>
    <x v="1"/>
    <s v="Bachelor"/>
    <s v="Single"/>
    <x v="328"/>
    <x v="4"/>
    <n v="8"/>
    <x v="1"/>
    <x v="0"/>
    <n v="41"/>
    <x v="1"/>
    <x v="2"/>
  </r>
  <r>
    <x v="330"/>
    <n v="32"/>
    <x v="1"/>
    <x v="1"/>
    <x v="1"/>
    <s v="Master"/>
    <s v="Single"/>
    <x v="329"/>
    <x v="16"/>
    <n v="7"/>
    <x v="1"/>
    <x v="3"/>
    <n v="52"/>
    <x v="0"/>
    <x v="0"/>
  </r>
  <r>
    <x v="331"/>
    <n v="43"/>
    <x v="0"/>
    <x v="2"/>
    <x v="3"/>
    <s v="Master"/>
    <s v="Married"/>
    <x v="330"/>
    <x v="18"/>
    <n v="5"/>
    <x v="0"/>
    <x v="2"/>
    <n v="75"/>
    <x v="1"/>
    <x v="3"/>
  </r>
  <r>
    <x v="332"/>
    <n v="35"/>
    <x v="0"/>
    <x v="2"/>
    <x v="4"/>
    <s v="Diploma"/>
    <s v="Single"/>
    <x v="331"/>
    <x v="19"/>
    <n v="9"/>
    <x v="1"/>
    <x v="2"/>
    <n v="5"/>
    <x v="0"/>
    <x v="3"/>
  </r>
  <r>
    <x v="333"/>
    <n v="48"/>
    <x v="0"/>
    <x v="0"/>
    <x v="2"/>
    <s v="Master"/>
    <s v="Married"/>
    <x v="332"/>
    <x v="8"/>
    <n v="6"/>
    <x v="1"/>
    <x v="1"/>
    <n v="64"/>
    <x v="1"/>
    <x v="2"/>
  </r>
  <r>
    <x v="334"/>
    <n v="54"/>
    <x v="1"/>
    <x v="2"/>
    <x v="0"/>
    <s v="Master"/>
    <s v="Married"/>
    <x v="333"/>
    <x v="7"/>
    <n v="8"/>
    <x v="0"/>
    <x v="2"/>
    <n v="16"/>
    <x v="0"/>
    <x v="4"/>
  </r>
  <r>
    <x v="335"/>
    <n v="22"/>
    <x v="1"/>
    <x v="3"/>
    <x v="4"/>
    <s v="MBA"/>
    <s v="Single"/>
    <x v="334"/>
    <x v="1"/>
    <n v="6"/>
    <x v="0"/>
    <x v="2"/>
    <n v="25"/>
    <x v="0"/>
    <x v="2"/>
  </r>
  <r>
    <x v="336"/>
    <n v="52"/>
    <x v="0"/>
    <x v="4"/>
    <x v="3"/>
    <s v="Diploma"/>
    <s v="Single"/>
    <x v="335"/>
    <x v="11"/>
    <n v="2"/>
    <x v="1"/>
    <x v="3"/>
    <n v="15"/>
    <x v="0"/>
    <x v="4"/>
  </r>
  <r>
    <x v="337"/>
    <n v="43"/>
    <x v="1"/>
    <x v="4"/>
    <x v="0"/>
    <s v="Diploma"/>
    <s v="Married"/>
    <x v="336"/>
    <x v="11"/>
    <n v="5"/>
    <x v="0"/>
    <x v="0"/>
    <n v="48"/>
    <x v="1"/>
    <x v="3"/>
  </r>
  <r>
    <x v="338"/>
    <n v="42"/>
    <x v="1"/>
    <x v="4"/>
    <x v="1"/>
    <s v="Diploma"/>
    <s v="Married"/>
    <x v="337"/>
    <x v="2"/>
    <n v="6"/>
    <x v="0"/>
    <x v="3"/>
    <n v="62"/>
    <x v="0"/>
    <x v="0"/>
  </r>
  <r>
    <x v="339"/>
    <n v="45"/>
    <x v="0"/>
    <x v="0"/>
    <x v="2"/>
    <s v="MBA"/>
    <s v="Single"/>
    <x v="338"/>
    <x v="1"/>
    <n v="1"/>
    <x v="0"/>
    <x v="0"/>
    <n v="48"/>
    <x v="0"/>
    <x v="1"/>
  </r>
  <r>
    <x v="340"/>
    <n v="42"/>
    <x v="0"/>
    <x v="0"/>
    <x v="1"/>
    <s v="Master"/>
    <s v="Married"/>
    <x v="339"/>
    <x v="19"/>
    <n v="2"/>
    <x v="1"/>
    <x v="3"/>
    <n v="82"/>
    <x v="0"/>
    <x v="3"/>
  </r>
  <r>
    <x v="341"/>
    <n v="42"/>
    <x v="0"/>
    <x v="5"/>
    <x v="3"/>
    <s v="Diploma"/>
    <s v="Single"/>
    <x v="340"/>
    <x v="0"/>
    <n v="3"/>
    <x v="1"/>
    <x v="1"/>
    <n v="38"/>
    <x v="1"/>
    <x v="4"/>
  </r>
  <r>
    <x v="342"/>
    <n v="26"/>
    <x v="0"/>
    <x v="4"/>
    <x v="0"/>
    <s v="Diploma"/>
    <s v="Married"/>
    <x v="341"/>
    <x v="5"/>
    <n v="9"/>
    <x v="0"/>
    <x v="2"/>
    <n v="29"/>
    <x v="0"/>
    <x v="2"/>
  </r>
  <r>
    <x v="343"/>
    <n v="35"/>
    <x v="1"/>
    <x v="3"/>
    <x v="3"/>
    <s v="Bachelor"/>
    <s v="Married"/>
    <x v="342"/>
    <x v="11"/>
    <n v="5"/>
    <x v="0"/>
    <x v="0"/>
    <n v="8"/>
    <x v="1"/>
    <x v="3"/>
  </r>
  <r>
    <x v="344"/>
    <n v="57"/>
    <x v="1"/>
    <x v="2"/>
    <x v="0"/>
    <s v="Diploma"/>
    <s v="Single"/>
    <x v="343"/>
    <x v="9"/>
    <n v="0"/>
    <x v="0"/>
    <x v="1"/>
    <n v="68"/>
    <x v="1"/>
    <x v="0"/>
  </r>
  <r>
    <x v="345"/>
    <n v="53"/>
    <x v="0"/>
    <x v="3"/>
    <x v="4"/>
    <s v="Master"/>
    <s v="Single"/>
    <x v="344"/>
    <x v="16"/>
    <n v="8"/>
    <x v="1"/>
    <x v="2"/>
    <n v="94"/>
    <x v="1"/>
    <x v="4"/>
  </r>
  <r>
    <x v="346"/>
    <n v="28"/>
    <x v="1"/>
    <x v="2"/>
    <x v="2"/>
    <s v="Master"/>
    <s v="Single"/>
    <x v="345"/>
    <x v="7"/>
    <n v="4"/>
    <x v="0"/>
    <x v="2"/>
    <n v="20"/>
    <x v="0"/>
    <x v="2"/>
  </r>
  <r>
    <x v="347"/>
    <n v="25"/>
    <x v="0"/>
    <x v="4"/>
    <x v="4"/>
    <s v="Bachelor"/>
    <s v="Married"/>
    <x v="346"/>
    <x v="15"/>
    <n v="6"/>
    <x v="0"/>
    <x v="2"/>
    <n v="14"/>
    <x v="0"/>
    <x v="1"/>
  </r>
  <r>
    <x v="348"/>
    <n v="59"/>
    <x v="0"/>
    <x v="4"/>
    <x v="4"/>
    <s v="Diploma"/>
    <s v="Married"/>
    <x v="347"/>
    <x v="12"/>
    <n v="8"/>
    <x v="1"/>
    <x v="3"/>
    <n v="70"/>
    <x v="1"/>
    <x v="4"/>
  </r>
  <r>
    <x v="349"/>
    <n v="24"/>
    <x v="1"/>
    <x v="4"/>
    <x v="3"/>
    <s v="Diploma"/>
    <s v="Married"/>
    <x v="348"/>
    <x v="6"/>
    <n v="8"/>
    <x v="0"/>
    <x v="1"/>
    <n v="39"/>
    <x v="0"/>
    <x v="2"/>
  </r>
  <r>
    <x v="350"/>
    <n v="26"/>
    <x v="0"/>
    <x v="0"/>
    <x v="2"/>
    <s v="Diploma"/>
    <s v="Married"/>
    <x v="349"/>
    <x v="13"/>
    <n v="0"/>
    <x v="1"/>
    <x v="1"/>
    <n v="87"/>
    <x v="0"/>
    <x v="1"/>
  </r>
  <r>
    <x v="351"/>
    <n v="52"/>
    <x v="1"/>
    <x v="2"/>
    <x v="0"/>
    <s v="MBA"/>
    <s v="Single"/>
    <x v="350"/>
    <x v="16"/>
    <n v="0"/>
    <x v="1"/>
    <x v="2"/>
    <n v="10"/>
    <x v="1"/>
    <x v="2"/>
  </r>
  <r>
    <x v="352"/>
    <n v="50"/>
    <x v="1"/>
    <x v="0"/>
    <x v="0"/>
    <s v="Diploma"/>
    <s v="Married"/>
    <x v="351"/>
    <x v="16"/>
    <n v="2"/>
    <x v="1"/>
    <x v="0"/>
    <n v="23"/>
    <x v="1"/>
    <x v="1"/>
  </r>
  <r>
    <x v="353"/>
    <n v="55"/>
    <x v="1"/>
    <x v="0"/>
    <x v="1"/>
    <s v="Master"/>
    <s v="Married"/>
    <x v="352"/>
    <x v="0"/>
    <n v="5"/>
    <x v="0"/>
    <x v="1"/>
    <n v="63"/>
    <x v="0"/>
    <x v="1"/>
  </r>
  <r>
    <x v="354"/>
    <n v="36"/>
    <x v="1"/>
    <x v="1"/>
    <x v="0"/>
    <s v="Master"/>
    <s v="Married"/>
    <x v="353"/>
    <x v="12"/>
    <n v="1"/>
    <x v="0"/>
    <x v="3"/>
    <n v="57"/>
    <x v="1"/>
    <x v="1"/>
  </r>
  <r>
    <x v="355"/>
    <n v="33"/>
    <x v="0"/>
    <x v="3"/>
    <x v="3"/>
    <s v="MBA"/>
    <s v="Single"/>
    <x v="354"/>
    <x v="7"/>
    <n v="9"/>
    <x v="1"/>
    <x v="0"/>
    <n v="12"/>
    <x v="0"/>
    <x v="2"/>
  </r>
  <r>
    <x v="356"/>
    <n v="50"/>
    <x v="1"/>
    <x v="3"/>
    <x v="4"/>
    <s v="MBA"/>
    <s v="Married"/>
    <x v="355"/>
    <x v="15"/>
    <n v="0"/>
    <x v="0"/>
    <x v="0"/>
    <n v="82"/>
    <x v="1"/>
    <x v="1"/>
  </r>
  <r>
    <x v="357"/>
    <n v="39"/>
    <x v="0"/>
    <x v="5"/>
    <x v="4"/>
    <s v="Diploma"/>
    <s v="Married"/>
    <x v="356"/>
    <x v="18"/>
    <n v="0"/>
    <x v="1"/>
    <x v="0"/>
    <n v="14"/>
    <x v="0"/>
    <x v="4"/>
  </r>
  <r>
    <x v="358"/>
    <n v="37"/>
    <x v="0"/>
    <x v="0"/>
    <x v="4"/>
    <s v="Bachelor"/>
    <s v="Single"/>
    <x v="357"/>
    <x v="17"/>
    <n v="4"/>
    <x v="0"/>
    <x v="0"/>
    <n v="71"/>
    <x v="0"/>
    <x v="0"/>
  </r>
  <r>
    <x v="359"/>
    <n v="39"/>
    <x v="0"/>
    <x v="2"/>
    <x v="2"/>
    <s v="MBA"/>
    <s v="Married"/>
    <x v="358"/>
    <x v="8"/>
    <n v="3"/>
    <x v="1"/>
    <x v="1"/>
    <n v="42"/>
    <x v="1"/>
    <x v="0"/>
  </r>
  <r>
    <x v="360"/>
    <n v="48"/>
    <x v="0"/>
    <x v="1"/>
    <x v="0"/>
    <s v="MBA"/>
    <s v="Married"/>
    <x v="359"/>
    <x v="0"/>
    <n v="0"/>
    <x v="1"/>
    <x v="2"/>
    <n v="33"/>
    <x v="0"/>
    <x v="1"/>
  </r>
  <r>
    <x v="361"/>
    <n v="46"/>
    <x v="1"/>
    <x v="1"/>
    <x v="3"/>
    <s v="Diploma"/>
    <s v="Single"/>
    <x v="360"/>
    <x v="3"/>
    <n v="3"/>
    <x v="0"/>
    <x v="0"/>
    <n v="19"/>
    <x v="0"/>
    <x v="0"/>
  </r>
  <r>
    <x v="362"/>
    <n v="57"/>
    <x v="1"/>
    <x v="3"/>
    <x v="2"/>
    <s v="Diploma"/>
    <s v="Married"/>
    <x v="361"/>
    <x v="17"/>
    <n v="2"/>
    <x v="0"/>
    <x v="3"/>
    <n v="91"/>
    <x v="1"/>
    <x v="0"/>
  </r>
  <r>
    <x v="363"/>
    <n v="46"/>
    <x v="0"/>
    <x v="0"/>
    <x v="1"/>
    <s v="MBA"/>
    <s v="Married"/>
    <x v="362"/>
    <x v="11"/>
    <n v="1"/>
    <x v="0"/>
    <x v="3"/>
    <n v="27"/>
    <x v="0"/>
    <x v="1"/>
  </r>
  <r>
    <x v="364"/>
    <n v="43"/>
    <x v="0"/>
    <x v="5"/>
    <x v="3"/>
    <s v="Bachelor"/>
    <s v="Married"/>
    <x v="363"/>
    <x v="12"/>
    <n v="8"/>
    <x v="0"/>
    <x v="2"/>
    <n v="86"/>
    <x v="0"/>
    <x v="1"/>
  </r>
  <r>
    <x v="365"/>
    <n v="29"/>
    <x v="1"/>
    <x v="0"/>
    <x v="3"/>
    <s v="MBA"/>
    <s v="Single"/>
    <x v="364"/>
    <x v="6"/>
    <n v="0"/>
    <x v="1"/>
    <x v="1"/>
    <n v="50"/>
    <x v="0"/>
    <x v="4"/>
  </r>
  <r>
    <x v="366"/>
    <n v="32"/>
    <x v="0"/>
    <x v="4"/>
    <x v="3"/>
    <s v="Diploma"/>
    <s v="Married"/>
    <x v="365"/>
    <x v="4"/>
    <n v="6"/>
    <x v="1"/>
    <x v="2"/>
    <n v="87"/>
    <x v="1"/>
    <x v="3"/>
  </r>
  <r>
    <x v="367"/>
    <n v="21"/>
    <x v="1"/>
    <x v="0"/>
    <x v="4"/>
    <s v="Diploma"/>
    <s v="Married"/>
    <x v="366"/>
    <x v="10"/>
    <n v="3"/>
    <x v="0"/>
    <x v="0"/>
    <n v="32"/>
    <x v="1"/>
    <x v="2"/>
  </r>
  <r>
    <x v="368"/>
    <n v="21"/>
    <x v="0"/>
    <x v="4"/>
    <x v="3"/>
    <s v="MBA"/>
    <s v="Single"/>
    <x v="367"/>
    <x v="0"/>
    <n v="4"/>
    <x v="0"/>
    <x v="1"/>
    <n v="30"/>
    <x v="1"/>
    <x v="1"/>
  </r>
  <r>
    <x v="369"/>
    <n v="54"/>
    <x v="1"/>
    <x v="4"/>
    <x v="0"/>
    <s v="Bachelor"/>
    <s v="Single"/>
    <x v="368"/>
    <x v="15"/>
    <n v="9"/>
    <x v="1"/>
    <x v="1"/>
    <n v="14"/>
    <x v="1"/>
    <x v="1"/>
  </r>
  <r>
    <x v="370"/>
    <n v="52"/>
    <x v="0"/>
    <x v="5"/>
    <x v="3"/>
    <s v="MBA"/>
    <s v="Married"/>
    <x v="369"/>
    <x v="14"/>
    <n v="4"/>
    <x v="0"/>
    <x v="0"/>
    <n v="51"/>
    <x v="1"/>
    <x v="0"/>
  </r>
  <r>
    <x v="371"/>
    <n v="45"/>
    <x v="0"/>
    <x v="2"/>
    <x v="4"/>
    <s v="MBA"/>
    <s v="Married"/>
    <x v="370"/>
    <x v="6"/>
    <n v="0"/>
    <x v="0"/>
    <x v="3"/>
    <n v="8"/>
    <x v="0"/>
    <x v="4"/>
  </r>
  <r>
    <x v="372"/>
    <n v="21"/>
    <x v="1"/>
    <x v="3"/>
    <x v="3"/>
    <s v="Diploma"/>
    <s v="Married"/>
    <x v="371"/>
    <x v="8"/>
    <n v="5"/>
    <x v="0"/>
    <x v="0"/>
    <n v="59"/>
    <x v="0"/>
    <x v="0"/>
  </r>
  <r>
    <x v="373"/>
    <n v="36"/>
    <x v="0"/>
    <x v="0"/>
    <x v="1"/>
    <s v="Bachelor"/>
    <s v="Married"/>
    <x v="372"/>
    <x v="3"/>
    <n v="8"/>
    <x v="0"/>
    <x v="2"/>
    <n v="70"/>
    <x v="0"/>
    <x v="1"/>
  </r>
  <r>
    <x v="374"/>
    <n v="59"/>
    <x v="0"/>
    <x v="4"/>
    <x v="1"/>
    <s v="Master"/>
    <s v="Single"/>
    <x v="373"/>
    <x v="1"/>
    <n v="1"/>
    <x v="1"/>
    <x v="0"/>
    <n v="71"/>
    <x v="1"/>
    <x v="1"/>
  </r>
  <r>
    <x v="375"/>
    <n v="25"/>
    <x v="1"/>
    <x v="0"/>
    <x v="4"/>
    <s v="Bachelor"/>
    <s v="Married"/>
    <x v="374"/>
    <x v="3"/>
    <n v="6"/>
    <x v="1"/>
    <x v="3"/>
    <n v="11"/>
    <x v="0"/>
    <x v="0"/>
  </r>
  <r>
    <x v="376"/>
    <n v="42"/>
    <x v="0"/>
    <x v="2"/>
    <x v="0"/>
    <s v="MBA"/>
    <s v="Single"/>
    <x v="375"/>
    <x v="6"/>
    <n v="5"/>
    <x v="0"/>
    <x v="0"/>
    <n v="59"/>
    <x v="1"/>
    <x v="1"/>
  </r>
  <r>
    <x v="377"/>
    <n v="49"/>
    <x v="1"/>
    <x v="3"/>
    <x v="0"/>
    <s v="MBA"/>
    <s v="Single"/>
    <x v="376"/>
    <x v="11"/>
    <n v="4"/>
    <x v="1"/>
    <x v="2"/>
    <n v="84"/>
    <x v="0"/>
    <x v="3"/>
  </r>
  <r>
    <x v="378"/>
    <n v="23"/>
    <x v="1"/>
    <x v="2"/>
    <x v="2"/>
    <s v="MBA"/>
    <s v="Married"/>
    <x v="377"/>
    <x v="5"/>
    <n v="3"/>
    <x v="0"/>
    <x v="2"/>
    <n v="35"/>
    <x v="1"/>
    <x v="2"/>
  </r>
  <r>
    <x v="379"/>
    <n v="32"/>
    <x v="0"/>
    <x v="3"/>
    <x v="4"/>
    <s v="Bachelor"/>
    <s v="Married"/>
    <x v="378"/>
    <x v="8"/>
    <n v="3"/>
    <x v="0"/>
    <x v="3"/>
    <n v="78"/>
    <x v="0"/>
    <x v="2"/>
  </r>
  <r>
    <x v="380"/>
    <n v="46"/>
    <x v="0"/>
    <x v="1"/>
    <x v="3"/>
    <s v="Diploma"/>
    <s v="Single"/>
    <x v="379"/>
    <x v="10"/>
    <n v="5"/>
    <x v="0"/>
    <x v="2"/>
    <n v="23"/>
    <x v="0"/>
    <x v="2"/>
  </r>
  <r>
    <x v="381"/>
    <n v="36"/>
    <x v="0"/>
    <x v="3"/>
    <x v="4"/>
    <s v="MBA"/>
    <s v="Single"/>
    <x v="380"/>
    <x v="3"/>
    <n v="3"/>
    <x v="1"/>
    <x v="2"/>
    <n v="32"/>
    <x v="1"/>
    <x v="3"/>
  </r>
  <r>
    <x v="382"/>
    <n v="57"/>
    <x v="0"/>
    <x v="5"/>
    <x v="2"/>
    <s v="MBA"/>
    <s v="Married"/>
    <x v="381"/>
    <x v="19"/>
    <n v="4"/>
    <x v="1"/>
    <x v="0"/>
    <n v="85"/>
    <x v="0"/>
    <x v="1"/>
  </r>
  <r>
    <x v="383"/>
    <n v="42"/>
    <x v="0"/>
    <x v="2"/>
    <x v="4"/>
    <s v="Bachelor"/>
    <s v="Single"/>
    <x v="382"/>
    <x v="16"/>
    <n v="5"/>
    <x v="1"/>
    <x v="1"/>
    <n v="32"/>
    <x v="0"/>
    <x v="0"/>
  </r>
  <r>
    <x v="384"/>
    <n v="49"/>
    <x v="0"/>
    <x v="4"/>
    <x v="4"/>
    <s v="Master"/>
    <s v="Married"/>
    <x v="383"/>
    <x v="0"/>
    <n v="4"/>
    <x v="1"/>
    <x v="2"/>
    <n v="23"/>
    <x v="1"/>
    <x v="4"/>
  </r>
  <r>
    <x v="385"/>
    <n v="34"/>
    <x v="0"/>
    <x v="1"/>
    <x v="2"/>
    <s v="Master"/>
    <s v="Married"/>
    <x v="384"/>
    <x v="0"/>
    <n v="6"/>
    <x v="1"/>
    <x v="2"/>
    <n v="91"/>
    <x v="0"/>
    <x v="1"/>
  </r>
  <r>
    <x v="386"/>
    <n v="48"/>
    <x v="1"/>
    <x v="5"/>
    <x v="0"/>
    <s v="Diploma"/>
    <s v="Single"/>
    <x v="385"/>
    <x v="4"/>
    <n v="8"/>
    <x v="0"/>
    <x v="3"/>
    <n v="24"/>
    <x v="0"/>
    <x v="3"/>
  </r>
  <r>
    <x v="387"/>
    <n v="25"/>
    <x v="0"/>
    <x v="0"/>
    <x v="3"/>
    <s v="Diploma"/>
    <s v="Single"/>
    <x v="386"/>
    <x v="19"/>
    <n v="9"/>
    <x v="0"/>
    <x v="3"/>
    <n v="17"/>
    <x v="1"/>
    <x v="3"/>
  </r>
  <r>
    <x v="388"/>
    <n v="50"/>
    <x v="1"/>
    <x v="2"/>
    <x v="2"/>
    <s v="MBA"/>
    <s v="Married"/>
    <x v="387"/>
    <x v="14"/>
    <n v="6"/>
    <x v="1"/>
    <x v="0"/>
    <n v="81"/>
    <x v="1"/>
    <x v="2"/>
  </r>
  <r>
    <x v="389"/>
    <n v="25"/>
    <x v="0"/>
    <x v="4"/>
    <x v="1"/>
    <s v="Bachelor"/>
    <s v="Single"/>
    <x v="388"/>
    <x v="14"/>
    <n v="6"/>
    <x v="1"/>
    <x v="0"/>
    <n v="47"/>
    <x v="1"/>
    <x v="1"/>
  </r>
  <r>
    <x v="390"/>
    <n v="32"/>
    <x v="0"/>
    <x v="3"/>
    <x v="0"/>
    <s v="MBA"/>
    <s v="Married"/>
    <x v="389"/>
    <x v="1"/>
    <n v="3"/>
    <x v="1"/>
    <x v="2"/>
    <n v="15"/>
    <x v="1"/>
    <x v="2"/>
  </r>
  <r>
    <x v="391"/>
    <n v="36"/>
    <x v="1"/>
    <x v="4"/>
    <x v="1"/>
    <s v="Diploma"/>
    <s v="Married"/>
    <x v="390"/>
    <x v="2"/>
    <n v="0"/>
    <x v="0"/>
    <x v="1"/>
    <n v="52"/>
    <x v="1"/>
    <x v="4"/>
  </r>
  <r>
    <x v="392"/>
    <n v="46"/>
    <x v="0"/>
    <x v="0"/>
    <x v="0"/>
    <s v="Bachelor"/>
    <s v="Married"/>
    <x v="391"/>
    <x v="0"/>
    <n v="7"/>
    <x v="1"/>
    <x v="1"/>
    <n v="19"/>
    <x v="0"/>
    <x v="2"/>
  </r>
  <r>
    <x v="393"/>
    <n v="46"/>
    <x v="0"/>
    <x v="1"/>
    <x v="3"/>
    <s v="Bachelor"/>
    <s v="Single"/>
    <x v="392"/>
    <x v="14"/>
    <n v="3"/>
    <x v="0"/>
    <x v="0"/>
    <n v="21"/>
    <x v="1"/>
    <x v="4"/>
  </r>
  <r>
    <x v="394"/>
    <n v="41"/>
    <x v="1"/>
    <x v="1"/>
    <x v="3"/>
    <s v="Diploma"/>
    <s v="Married"/>
    <x v="393"/>
    <x v="9"/>
    <n v="0"/>
    <x v="0"/>
    <x v="3"/>
    <n v="58"/>
    <x v="1"/>
    <x v="3"/>
  </r>
  <r>
    <x v="395"/>
    <n v="59"/>
    <x v="0"/>
    <x v="2"/>
    <x v="4"/>
    <s v="Master"/>
    <s v="Married"/>
    <x v="394"/>
    <x v="5"/>
    <n v="4"/>
    <x v="1"/>
    <x v="2"/>
    <n v="54"/>
    <x v="0"/>
    <x v="2"/>
  </r>
  <r>
    <x v="396"/>
    <n v="56"/>
    <x v="0"/>
    <x v="1"/>
    <x v="1"/>
    <s v="Master"/>
    <s v="Married"/>
    <x v="395"/>
    <x v="14"/>
    <n v="7"/>
    <x v="0"/>
    <x v="2"/>
    <n v="32"/>
    <x v="0"/>
    <x v="2"/>
  </r>
  <r>
    <x v="397"/>
    <n v="53"/>
    <x v="0"/>
    <x v="2"/>
    <x v="0"/>
    <s v="Bachelor"/>
    <s v="Married"/>
    <x v="396"/>
    <x v="4"/>
    <n v="3"/>
    <x v="0"/>
    <x v="1"/>
    <n v="87"/>
    <x v="0"/>
    <x v="0"/>
  </r>
  <r>
    <x v="398"/>
    <n v="50"/>
    <x v="1"/>
    <x v="2"/>
    <x v="3"/>
    <s v="MBA"/>
    <s v="Married"/>
    <x v="397"/>
    <x v="7"/>
    <n v="7"/>
    <x v="1"/>
    <x v="0"/>
    <n v="8"/>
    <x v="0"/>
    <x v="3"/>
  </r>
  <r>
    <x v="399"/>
    <n v="57"/>
    <x v="0"/>
    <x v="2"/>
    <x v="2"/>
    <s v="Master"/>
    <s v="Married"/>
    <x v="398"/>
    <x v="3"/>
    <n v="7"/>
    <x v="0"/>
    <x v="1"/>
    <n v="26"/>
    <x v="0"/>
    <x v="0"/>
  </r>
  <r>
    <x v="400"/>
    <n v="43"/>
    <x v="0"/>
    <x v="3"/>
    <x v="3"/>
    <s v="MBA"/>
    <s v="Married"/>
    <x v="399"/>
    <x v="13"/>
    <n v="2"/>
    <x v="1"/>
    <x v="1"/>
    <n v="90"/>
    <x v="1"/>
    <x v="4"/>
  </r>
  <r>
    <x v="401"/>
    <n v="30"/>
    <x v="0"/>
    <x v="5"/>
    <x v="2"/>
    <s v="Master"/>
    <s v="Married"/>
    <x v="400"/>
    <x v="8"/>
    <n v="8"/>
    <x v="0"/>
    <x v="0"/>
    <n v="43"/>
    <x v="0"/>
    <x v="4"/>
  </r>
  <r>
    <x v="402"/>
    <n v="25"/>
    <x v="0"/>
    <x v="2"/>
    <x v="0"/>
    <s v="Master"/>
    <s v="Married"/>
    <x v="401"/>
    <x v="12"/>
    <n v="2"/>
    <x v="1"/>
    <x v="3"/>
    <n v="38"/>
    <x v="1"/>
    <x v="3"/>
  </r>
  <r>
    <x v="403"/>
    <n v="56"/>
    <x v="1"/>
    <x v="2"/>
    <x v="3"/>
    <s v="MBA"/>
    <s v="Married"/>
    <x v="402"/>
    <x v="3"/>
    <n v="0"/>
    <x v="1"/>
    <x v="2"/>
    <n v="48"/>
    <x v="0"/>
    <x v="4"/>
  </r>
  <r>
    <x v="404"/>
    <n v="54"/>
    <x v="1"/>
    <x v="5"/>
    <x v="3"/>
    <s v="Diploma"/>
    <s v="Married"/>
    <x v="403"/>
    <x v="18"/>
    <n v="1"/>
    <x v="0"/>
    <x v="3"/>
    <n v="46"/>
    <x v="1"/>
    <x v="3"/>
  </r>
  <r>
    <x v="405"/>
    <n v="51"/>
    <x v="0"/>
    <x v="4"/>
    <x v="0"/>
    <s v="Master"/>
    <s v="Single"/>
    <x v="404"/>
    <x v="5"/>
    <n v="5"/>
    <x v="1"/>
    <x v="0"/>
    <n v="44"/>
    <x v="0"/>
    <x v="4"/>
  </r>
  <r>
    <x v="406"/>
    <n v="30"/>
    <x v="0"/>
    <x v="2"/>
    <x v="3"/>
    <s v="Master"/>
    <s v="Married"/>
    <x v="405"/>
    <x v="10"/>
    <n v="9"/>
    <x v="0"/>
    <x v="0"/>
    <n v="16"/>
    <x v="1"/>
    <x v="1"/>
  </r>
  <r>
    <x v="407"/>
    <n v="39"/>
    <x v="1"/>
    <x v="3"/>
    <x v="2"/>
    <s v="MBA"/>
    <s v="Married"/>
    <x v="406"/>
    <x v="6"/>
    <n v="1"/>
    <x v="0"/>
    <x v="2"/>
    <n v="6"/>
    <x v="1"/>
    <x v="2"/>
  </r>
  <r>
    <x v="408"/>
    <n v="52"/>
    <x v="1"/>
    <x v="1"/>
    <x v="3"/>
    <s v="Diploma"/>
    <s v="Married"/>
    <x v="407"/>
    <x v="2"/>
    <n v="5"/>
    <x v="1"/>
    <x v="3"/>
    <n v="32"/>
    <x v="1"/>
    <x v="1"/>
  </r>
  <r>
    <x v="409"/>
    <n v="21"/>
    <x v="0"/>
    <x v="1"/>
    <x v="1"/>
    <s v="Master"/>
    <s v="Single"/>
    <x v="408"/>
    <x v="13"/>
    <n v="0"/>
    <x v="0"/>
    <x v="2"/>
    <n v="78"/>
    <x v="1"/>
    <x v="3"/>
  </r>
  <r>
    <x v="410"/>
    <n v="25"/>
    <x v="1"/>
    <x v="0"/>
    <x v="4"/>
    <s v="Master"/>
    <s v="Married"/>
    <x v="409"/>
    <x v="14"/>
    <n v="0"/>
    <x v="1"/>
    <x v="1"/>
    <n v="90"/>
    <x v="1"/>
    <x v="3"/>
  </r>
  <r>
    <x v="411"/>
    <n v="24"/>
    <x v="0"/>
    <x v="0"/>
    <x v="2"/>
    <s v="Diploma"/>
    <s v="Single"/>
    <x v="410"/>
    <x v="3"/>
    <n v="4"/>
    <x v="0"/>
    <x v="1"/>
    <n v="85"/>
    <x v="1"/>
    <x v="1"/>
  </r>
  <r>
    <x v="412"/>
    <n v="36"/>
    <x v="1"/>
    <x v="1"/>
    <x v="1"/>
    <s v="Master"/>
    <s v="Married"/>
    <x v="411"/>
    <x v="0"/>
    <n v="9"/>
    <x v="0"/>
    <x v="1"/>
    <n v="94"/>
    <x v="1"/>
    <x v="2"/>
  </r>
  <r>
    <x v="413"/>
    <n v="44"/>
    <x v="1"/>
    <x v="1"/>
    <x v="0"/>
    <s v="Diploma"/>
    <s v="Married"/>
    <x v="412"/>
    <x v="3"/>
    <n v="8"/>
    <x v="1"/>
    <x v="3"/>
    <n v="71"/>
    <x v="1"/>
    <x v="2"/>
  </r>
  <r>
    <x v="414"/>
    <n v="36"/>
    <x v="1"/>
    <x v="3"/>
    <x v="2"/>
    <s v="Diploma"/>
    <s v="Single"/>
    <x v="413"/>
    <x v="0"/>
    <n v="7"/>
    <x v="0"/>
    <x v="1"/>
    <n v="75"/>
    <x v="1"/>
    <x v="0"/>
  </r>
  <r>
    <x v="415"/>
    <n v="22"/>
    <x v="1"/>
    <x v="5"/>
    <x v="4"/>
    <s v="MBA"/>
    <s v="Married"/>
    <x v="414"/>
    <x v="4"/>
    <n v="2"/>
    <x v="0"/>
    <x v="2"/>
    <n v="76"/>
    <x v="1"/>
    <x v="4"/>
  </r>
  <r>
    <x v="416"/>
    <n v="48"/>
    <x v="0"/>
    <x v="0"/>
    <x v="4"/>
    <s v="Bachelor"/>
    <s v="Single"/>
    <x v="415"/>
    <x v="1"/>
    <n v="2"/>
    <x v="0"/>
    <x v="3"/>
    <n v="88"/>
    <x v="0"/>
    <x v="0"/>
  </r>
  <r>
    <x v="417"/>
    <n v="52"/>
    <x v="1"/>
    <x v="5"/>
    <x v="0"/>
    <s v="Diploma"/>
    <s v="Single"/>
    <x v="416"/>
    <x v="13"/>
    <n v="0"/>
    <x v="0"/>
    <x v="2"/>
    <n v="80"/>
    <x v="1"/>
    <x v="2"/>
  </r>
  <r>
    <x v="418"/>
    <n v="47"/>
    <x v="1"/>
    <x v="3"/>
    <x v="0"/>
    <s v="MBA"/>
    <s v="Married"/>
    <x v="417"/>
    <x v="10"/>
    <n v="2"/>
    <x v="0"/>
    <x v="0"/>
    <n v="85"/>
    <x v="1"/>
    <x v="1"/>
  </r>
  <r>
    <x v="419"/>
    <n v="40"/>
    <x v="0"/>
    <x v="1"/>
    <x v="2"/>
    <s v="Bachelor"/>
    <s v="Married"/>
    <x v="418"/>
    <x v="9"/>
    <n v="0"/>
    <x v="0"/>
    <x v="3"/>
    <n v="96"/>
    <x v="0"/>
    <x v="4"/>
  </r>
  <r>
    <x v="420"/>
    <n v="44"/>
    <x v="1"/>
    <x v="2"/>
    <x v="3"/>
    <s v="Master"/>
    <s v="Married"/>
    <x v="419"/>
    <x v="17"/>
    <n v="7"/>
    <x v="0"/>
    <x v="2"/>
    <n v="14"/>
    <x v="1"/>
    <x v="1"/>
  </r>
  <r>
    <x v="421"/>
    <n v="32"/>
    <x v="1"/>
    <x v="5"/>
    <x v="0"/>
    <s v="Bachelor"/>
    <s v="Married"/>
    <x v="420"/>
    <x v="19"/>
    <n v="0"/>
    <x v="0"/>
    <x v="2"/>
    <n v="90"/>
    <x v="1"/>
    <x v="0"/>
  </r>
  <r>
    <x v="422"/>
    <n v="55"/>
    <x v="0"/>
    <x v="1"/>
    <x v="3"/>
    <s v="Diploma"/>
    <s v="Single"/>
    <x v="421"/>
    <x v="14"/>
    <n v="4"/>
    <x v="1"/>
    <x v="3"/>
    <n v="61"/>
    <x v="0"/>
    <x v="3"/>
  </r>
  <r>
    <x v="423"/>
    <n v="53"/>
    <x v="1"/>
    <x v="1"/>
    <x v="1"/>
    <s v="Diploma"/>
    <s v="Single"/>
    <x v="422"/>
    <x v="6"/>
    <n v="8"/>
    <x v="0"/>
    <x v="0"/>
    <n v="90"/>
    <x v="0"/>
    <x v="1"/>
  </r>
  <r>
    <x v="424"/>
    <n v="53"/>
    <x v="0"/>
    <x v="4"/>
    <x v="4"/>
    <s v="Diploma"/>
    <s v="Married"/>
    <x v="423"/>
    <x v="12"/>
    <n v="6"/>
    <x v="0"/>
    <x v="3"/>
    <n v="41"/>
    <x v="1"/>
    <x v="0"/>
  </r>
  <r>
    <x v="425"/>
    <n v="57"/>
    <x v="0"/>
    <x v="5"/>
    <x v="3"/>
    <s v="Diploma"/>
    <s v="Single"/>
    <x v="424"/>
    <x v="2"/>
    <n v="3"/>
    <x v="1"/>
    <x v="1"/>
    <n v="81"/>
    <x v="0"/>
    <x v="0"/>
  </r>
  <r>
    <x v="426"/>
    <n v="32"/>
    <x v="0"/>
    <x v="2"/>
    <x v="4"/>
    <s v="Diploma"/>
    <s v="Single"/>
    <x v="425"/>
    <x v="12"/>
    <n v="8"/>
    <x v="1"/>
    <x v="1"/>
    <n v="95"/>
    <x v="1"/>
    <x v="0"/>
  </r>
  <r>
    <x v="427"/>
    <n v="23"/>
    <x v="0"/>
    <x v="5"/>
    <x v="3"/>
    <s v="MBA"/>
    <s v="Married"/>
    <x v="426"/>
    <x v="18"/>
    <n v="8"/>
    <x v="1"/>
    <x v="0"/>
    <n v="68"/>
    <x v="1"/>
    <x v="3"/>
  </r>
  <r>
    <x v="428"/>
    <n v="21"/>
    <x v="1"/>
    <x v="1"/>
    <x v="1"/>
    <s v="Diploma"/>
    <s v="Single"/>
    <x v="427"/>
    <x v="13"/>
    <n v="1"/>
    <x v="0"/>
    <x v="2"/>
    <n v="83"/>
    <x v="1"/>
    <x v="3"/>
  </r>
  <r>
    <x v="429"/>
    <n v="53"/>
    <x v="0"/>
    <x v="2"/>
    <x v="0"/>
    <s v="MBA"/>
    <s v="Single"/>
    <x v="428"/>
    <x v="4"/>
    <n v="9"/>
    <x v="1"/>
    <x v="2"/>
    <n v="90"/>
    <x v="0"/>
    <x v="3"/>
  </r>
  <r>
    <x v="430"/>
    <n v="30"/>
    <x v="1"/>
    <x v="3"/>
    <x v="1"/>
    <s v="Master"/>
    <s v="Married"/>
    <x v="429"/>
    <x v="16"/>
    <n v="9"/>
    <x v="1"/>
    <x v="2"/>
    <n v="98"/>
    <x v="1"/>
    <x v="4"/>
  </r>
  <r>
    <x v="431"/>
    <n v="49"/>
    <x v="1"/>
    <x v="4"/>
    <x v="0"/>
    <s v="Diploma"/>
    <s v="Single"/>
    <x v="430"/>
    <x v="13"/>
    <n v="5"/>
    <x v="0"/>
    <x v="3"/>
    <n v="44"/>
    <x v="1"/>
    <x v="3"/>
  </r>
  <r>
    <x v="432"/>
    <n v="33"/>
    <x v="1"/>
    <x v="1"/>
    <x v="0"/>
    <s v="Diploma"/>
    <s v="Married"/>
    <x v="431"/>
    <x v="1"/>
    <n v="3"/>
    <x v="0"/>
    <x v="3"/>
    <n v="64"/>
    <x v="0"/>
    <x v="3"/>
  </r>
  <r>
    <x v="433"/>
    <n v="32"/>
    <x v="1"/>
    <x v="0"/>
    <x v="4"/>
    <s v="Bachelor"/>
    <s v="Single"/>
    <x v="432"/>
    <x v="12"/>
    <n v="7"/>
    <x v="1"/>
    <x v="0"/>
    <n v="52"/>
    <x v="1"/>
    <x v="3"/>
  </r>
  <r>
    <x v="434"/>
    <n v="51"/>
    <x v="1"/>
    <x v="0"/>
    <x v="1"/>
    <s v="Master"/>
    <s v="Married"/>
    <x v="433"/>
    <x v="12"/>
    <n v="6"/>
    <x v="1"/>
    <x v="1"/>
    <n v="23"/>
    <x v="1"/>
    <x v="1"/>
  </r>
  <r>
    <x v="435"/>
    <n v="22"/>
    <x v="1"/>
    <x v="4"/>
    <x v="3"/>
    <s v="Diploma"/>
    <s v="Single"/>
    <x v="434"/>
    <x v="5"/>
    <n v="6"/>
    <x v="0"/>
    <x v="2"/>
    <n v="76"/>
    <x v="1"/>
    <x v="3"/>
  </r>
  <r>
    <x v="436"/>
    <n v="55"/>
    <x v="1"/>
    <x v="3"/>
    <x v="1"/>
    <s v="Diploma"/>
    <s v="Single"/>
    <x v="435"/>
    <x v="11"/>
    <n v="9"/>
    <x v="0"/>
    <x v="1"/>
    <n v="37"/>
    <x v="1"/>
    <x v="4"/>
  </r>
  <r>
    <x v="437"/>
    <n v="43"/>
    <x v="1"/>
    <x v="1"/>
    <x v="4"/>
    <s v="Master"/>
    <s v="Married"/>
    <x v="436"/>
    <x v="0"/>
    <n v="8"/>
    <x v="0"/>
    <x v="3"/>
    <n v="48"/>
    <x v="1"/>
    <x v="0"/>
  </r>
  <r>
    <x v="438"/>
    <n v="37"/>
    <x v="1"/>
    <x v="5"/>
    <x v="0"/>
    <s v="MBA"/>
    <s v="Married"/>
    <x v="437"/>
    <x v="0"/>
    <n v="4"/>
    <x v="0"/>
    <x v="3"/>
    <n v="96"/>
    <x v="1"/>
    <x v="1"/>
  </r>
  <r>
    <x v="439"/>
    <n v="46"/>
    <x v="1"/>
    <x v="4"/>
    <x v="4"/>
    <s v="Diploma"/>
    <s v="Married"/>
    <x v="438"/>
    <x v="16"/>
    <n v="5"/>
    <x v="0"/>
    <x v="3"/>
    <n v="41"/>
    <x v="0"/>
    <x v="2"/>
  </r>
  <r>
    <x v="440"/>
    <n v="28"/>
    <x v="0"/>
    <x v="3"/>
    <x v="2"/>
    <s v="Bachelor"/>
    <s v="Married"/>
    <x v="439"/>
    <x v="7"/>
    <n v="0"/>
    <x v="1"/>
    <x v="1"/>
    <n v="93"/>
    <x v="1"/>
    <x v="3"/>
  </r>
  <r>
    <x v="441"/>
    <n v="49"/>
    <x v="0"/>
    <x v="5"/>
    <x v="2"/>
    <s v="Diploma"/>
    <s v="Single"/>
    <x v="440"/>
    <x v="16"/>
    <n v="5"/>
    <x v="0"/>
    <x v="0"/>
    <n v="40"/>
    <x v="1"/>
    <x v="0"/>
  </r>
  <r>
    <x v="442"/>
    <n v="46"/>
    <x v="0"/>
    <x v="0"/>
    <x v="3"/>
    <s v="Bachelor"/>
    <s v="Single"/>
    <x v="441"/>
    <x v="15"/>
    <n v="1"/>
    <x v="0"/>
    <x v="0"/>
    <n v="85"/>
    <x v="0"/>
    <x v="0"/>
  </r>
  <r>
    <x v="443"/>
    <n v="30"/>
    <x v="1"/>
    <x v="0"/>
    <x v="4"/>
    <s v="Bachelor"/>
    <s v="Single"/>
    <x v="442"/>
    <x v="6"/>
    <n v="5"/>
    <x v="0"/>
    <x v="3"/>
    <n v="92"/>
    <x v="1"/>
    <x v="1"/>
  </r>
  <r>
    <x v="444"/>
    <n v="46"/>
    <x v="0"/>
    <x v="5"/>
    <x v="3"/>
    <s v="Diploma"/>
    <s v="Married"/>
    <x v="443"/>
    <x v="5"/>
    <n v="8"/>
    <x v="0"/>
    <x v="2"/>
    <n v="25"/>
    <x v="1"/>
    <x v="2"/>
  </r>
  <r>
    <x v="445"/>
    <n v="54"/>
    <x v="0"/>
    <x v="4"/>
    <x v="3"/>
    <s v="Diploma"/>
    <s v="Single"/>
    <x v="444"/>
    <x v="2"/>
    <n v="7"/>
    <x v="0"/>
    <x v="1"/>
    <n v="6"/>
    <x v="0"/>
    <x v="4"/>
  </r>
  <r>
    <x v="446"/>
    <n v="27"/>
    <x v="0"/>
    <x v="0"/>
    <x v="2"/>
    <s v="Bachelor"/>
    <s v="Single"/>
    <x v="445"/>
    <x v="3"/>
    <n v="8"/>
    <x v="1"/>
    <x v="3"/>
    <n v="35"/>
    <x v="0"/>
    <x v="0"/>
  </r>
  <r>
    <x v="447"/>
    <n v="24"/>
    <x v="1"/>
    <x v="1"/>
    <x v="3"/>
    <s v="Master"/>
    <s v="Married"/>
    <x v="446"/>
    <x v="5"/>
    <n v="9"/>
    <x v="0"/>
    <x v="1"/>
    <n v="34"/>
    <x v="0"/>
    <x v="0"/>
  </r>
  <r>
    <x v="448"/>
    <n v="31"/>
    <x v="1"/>
    <x v="2"/>
    <x v="2"/>
    <s v="Master"/>
    <s v="Married"/>
    <x v="447"/>
    <x v="1"/>
    <n v="7"/>
    <x v="1"/>
    <x v="1"/>
    <n v="80"/>
    <x v="0"/>
    <x v="0"/>
  </r>
  <r>
    <x v="449"/>
    <n v="49"/>
    <x v="1"/>
    <x v="5"/>
    <x v="0"/>
    <s v="Diploma"/>
    <s v="Single"/>
    <x v="448"/>
    <x v="1"/>
    <n v="2"/>
    <x v="0"/>
    <x v="0"/>
    <n v="48"/>
    <x v="0"/>
    <x v="0"/>
  </r>
  <r>
    <x v="450"/>
    <n v="56"/>
    <x v="1"/>
    <x v="5"/>
    <x v="4"/>
    <s v="MBA"/>
    <s v="Married"/>
    <x v="449"/>
    <x v="17"/>
    <n v="7"/>
    <x v="1"/>
    <x v="3"/>
    <n v="16"/>
    <x v="0"/>
    <x v="1"/>
  </r>
  <r>
    <x v="451"/>
    <n v="45"/>
    <x v="0"/>
    <x v="0"/>
    <x v="3"/>
    <s v="Master"/>
    <s v="Single"/>
    <x v="450"/>
    <x v="1"/>
    <n v="5"/>
    <x v="1"/>
    <x v="0"/>
    <n v="55"/>
    <x v="0"/>
    <x v="2"/>
  </r>
  <r>
    <x v="452"/>
    <n v="41"/>
    <x v="0"/>
    <x v="4"/>
    <x v="2"/>
    <s v="Diploma"/>
    <s v="Single"/>
    <x v="451"/>
    <x v="5"/>
    <n v="5"/>
    <x v="0"/>
    <x v="3"/>
    <n v="53"/>
    <x v="1"/>
    <x v="0"/>
  </r>
  <r>
    <x v="453"/>
    <n v="56"/>
    <x v="0"/>
    <x v="1"/>
    <x v="1"/>
    <s v="Master"/>
    <s v="Married"/>
    <x v="452"/>
    <x v="10"/>
    <n v="5"/>
    <x v="0"/>
    <x v="1"/>
    <n v="28"/>
    <x v="1"/>
    <x v="4"/>
  </r>
  <r>
    <x v="454"/>
    <n v="30"/>
    <x v="0"/>
    <x v="4"/>
    <x v="3"/>
    <s v="MBA"/>
    <s v="Single"/>
    <x v="453"/>
    <x v="13"/>
    <n v="2"/>
    <x v="0"/>
    <x v="0"/>
    <n v="28"/>
    <x v="1"/>
    <x v="4"/>
  </r>
  <r>
    <x v="455"/>
    <n v="57"/>
    <x v="1"/>
    <x v="3"/>
    <x v="0"/>
    <s v="Diploma"/>
    <s v="Married"/>
    <x v="454"/>
    <x v="8"/>
    <n v="9"/>
    <x v="0"/>
    <x v="1"/>
    <n v="64"/>
    <x v="0"/>
    <x v="3"/>
  </r>
  <r>
    <x v="456"/>
    <n v="29"/>
    <x v="1"/>
    <x v="3"/>
    <x v="0"/>
    <s v="MBA"/>
    <s v="Married"/>
    <x v="455"/>
    <x v="11"/>
    <n v="0"/>
    <x v="0"/>
    <x v="3"/>
    <n v="15"/>
    <x v="1"/>
    <x v="0"/>
  </r>
  <r>
    <x v="457"/>
    <n v="44"/>
    <x v="1"/>
    <x v="2"/>
    <x v="1"/>
    <s v="Diploma"/>
    <s v="Single"/>
    <x v="456"/>
    <x v="4"/>
    <n v="3"/>
    <x v="1"/>
    <x v="2"/>
    <n v="17"/>
    <x v="0"/>
    <x v="0"/>
  </r>
  <r>
    <x v="458"/>
    <n v="55"/>
    <x v="0"/>
    <x v="0"/>
    <x v="2"/>
    <s v="MBA"/>
    <s v="Single"/>
    <x v="457"/>
    <x v="19"/>
    <n v="9"/>
    <x v="0"/>
    <x v="0"/>
    <n v="95"/>
    <x v="1"/>
    <x v="0"/>
  </r>
  <r>
    <x v="459"/>
    <n v="55"/>
    <x v="1"/>
    <x v="0"/>
    <x v="3"/>
    <s v="Master"/>
    <s v="Single"/>
    <x v="458"/>
    <x v="15"/>
    <n v="5"/>
    <x v="0"/>
    <x v="0"/>
    <n v="76"/>
    <x v="1"/>
    <x v="0"/>
  </r>
  <r>
    <x v="460"/>
    <n v="56"/>
    <x v="1"/>
    <x v="0"/>
    <x v="2"/>
    <s v="Master"/>
    <s v="Married"/>
    <x v="459"/>
    <x v="10"/>
    <n v="9"/>
    <x v="1"/>
    <x v="1"/>
    <n v="78"/>
    <x v="1"/>
    <x v="0"/>
  </r>
  <r>
    <x v="461"/>
    <n v="38"/>
    <x v="0"/>
    <x v="2"/>
    <x v="0"/>
    <s v="MBA"/>
    <s v="Single"/>
    <x v="460"/>
    <x v="10"/>
    <n v="1"/>
    <x v="0"/>
    <x v="1"/>
    <n v="76"/>
    <x v="1"/>
    <x v="4"/>
  </r>
  <r>
    <x v="462"/>
    <n v="59"/>
    <x v="0"/>
    <x v="3"/>
    <x v="2"/>
    <s v="MBA"/>
    <s v="Married"/>
    <x v="461"/>
    <x v="1"/>
    <n v="6"/>
    <x v="1"/>
    <x v="2"/>
    <n v="68"/>
    <x v="0"/>
    <x v="2"/>
  </r>
  <r>
    <x v="463"/>
    <n v="52"/>
    <x v="1"/>
    <x v="4"/>
    <x v="0"/>
    <s v="MBA"/>
    <s v="Married"/>
    <x v="462"/>
    <x v="12"/>
    <n v="6"/>
    <x v="0"/>
    <x v="0"/>
    <n v="24"/>
    <x v="0"/>
    <x v="2"/>
  </r>
  <r>
    <x v="464"/>
    <n v="44"/>
    <x v="1"/>
    <x v="2"/>
    <x v="2"/>
    <s v="Diploma"/>
    <s v="Single"/>
    <x v="463"/>
    <x v="11"/>
    <n v="3"/>
    <x v="1"/>
    <x v="3"/>
    <n v="76"/>
    <x v="1"/>
    <x v="3"/>
  </r>
  <r>
    <x v="465"/>
    <n v="43"/>
    <x v="1"/>
    <x v="2"/>
    <x v="1"/>
    <s v="Master"/>
    <s v="Married"/>
    <x v="464"/>
    <x v="18"/>
    <n v="3"/>
    <x v="0"/>
    <x v="3"/>
    <n v="77"/>
    <x v="0"/>
    <x v="4"/>
  </r>
  <r>
    <x v="466"/>
    <n v="52"/>
    <x v="1"/>
    <x v="4"/>
    <x v="4"/>
    <s v="Diploma"/>
    <s v="Single"/>
    <x v="465"/>
    <x v="3"/>
    <n v="0"/>
    <x v="1"/>
    <x v="0"/>
    <n v="75"/>
    <x v="0"/>
    <x v="0"/>
  </r>
  <r>
    <x v="467"/>
    <n v="57"/>
    <x v="1"/>
    <x v="0"/>
    <x v="1"/>
    <s v="Master"/>
    <s v="Single"/>
    <x v="466"/>
    <x v="14"/>
    <n v="1"/>
    <x v="1"/>
    <x v="0"/>
    <n v="82"/>
    <x v="1"/>
    <x v="2"/>
  </r>
  <r>
    <x v="468"/>
    <n v="32"/>
    <x v="1"/>
    <x v="1"/>
    <x v="1"/>
    <s v="Bachelor"/>
    <s v="Single"/>
    <x v="467"/>
    <x v="3"/>
    <n v="8"/>
    <x v="0"/>
    <x v="0"/>
    <n v="32"/>
    <x v="0"/>
    <x v="1"/>
  </r>
  <r>
    <x v="469"/>
    <n v="33"/>
    <x v="0"/>
    <x v="4"/>
    <x v="4"/>
    <s v="Diploma"/>
    <s v="Single"/>
    <x v="468"/>
    <x v="17"/>
    <n v="9"/>
    <x v="0"/>
    <x v="2"/>
    <n v="6"/>
    <x v="0"/>
    <x v="1"/>
  </r>
  <r>
    <x v="470"/>
    <n v="43"/>
    <x v="0"/>
    <x v="3"/>
    <x v="4"/>
    <s v="Master"/>
    <s v="Single"/>
    <x v="469"/>
    <x v="9"/>
    <n v="7"/>
    <x v="0"/>
    <x v="3"/>
    <n v="47"/>
    <x v="0"/>
    <x v="1"/>
  </r>
  <r>
    <x v="471"/>
    <n v="45"/>
    <x v="0"/>
    <x v="5"/>
    <x v="3"/>
    <s v="Master"/>
    <s v="Single"/>
    <x v="470"/>
    <x v="8"/>
    <n v="7"/>
    <x v="1"/>
    <x v="3"/>
    <n v="12"/>
    <x v="0"/>
    <x v="0"/>
  </r>
  <r>
    <x v="472"/>
    <n v="55"/>
    <x v="1"/>
    <x v="5"/>
    <x v="3"/>
    <s v="Diploma"/>
    <s v="Single"/>
    <x v="471"/>
    <x v="3"/>
    <n v="8"/>
    <x v="1"/>
    <x v="1"/>
    <n v="17"/>
    <x v="1"/>
    <x v="0"/>
  </r>
  <r>
    <x v="473"/>
    <n v="50"/>
    <x v="0"/>
    <x v="2"/>
    <x v="1"/>
    <s v="Diploma"/>
    <s v="Married"/>
    <x v="472"/>
    <x v="8"/>
    <n v="6"/>
    <x v="1"/>
    <x v="1"/>
    <n v="89"/>
    <x v="1"/>
    <x v="3"/>
  </r>
  <r>
    <x v="474"/>
    <n v="37"/>
    <x v="1"/>
    <x v="5"/>
    <x v="1"/>
    <s v="Master"/>
    <s v="Single"/>
    <x v="473"/>
    <x v="16"/>
    <n v="8"/>
    <x v="0"/>
    <x v="0"/>
    <n v="96"/>
    <x v="0"/>
    <x v="3"/>
  </r>
  <r>
    <x v="475"/>
    <n v="40"/>
    <x v="1"/>
    <x v="1"/>
    <x v="0"/>
    <s v="Diploma"/>
    <s v="Married"/>
    <x v="474"/>
    <x v="19"/>
    <n v="9"/>
    <x v="0"/>
    <x v="1"/>
    <n v="39"/>
    <x v="1"/>
    <x v="3"/>
  </r>
  <r>
    <x v="476"/>
    <n v="45"/>
    <x v="0"/>
    <x v="0"/>
    <x v="0"/>
    <s v="MBA"/>
    <s v="Married"/>
    <x v="475"/>
    <x v="1"/>
    <n v="1"/>
    <x v="1"/>
    <x v="2"/>
    <n v="27"/>
    <x v="1"/>
    <x v="1"/>
  </r>
  <r>
    <x v="477"/>
    <n v="42"/>
    <x v="1"/>
    <x v="3"/>
    <x v="3"/>
    <s v="Diploma"/>
    <s v="Married"/>
    <x v="476"/>
    <x v="8"/>
    <n v="5"/>
    <x v="0"/>
    <x v="3"/>
    <n v="50"/>
    <x v="1"/>
    <x v="0"/>
  </r>
  <r>
    <x v="478"/>
    <n v="33"/>
    <x v="1"/>
    <x v="1"/>
    <x v="3"/>
    <s v="Diploma"/>
    <s v="Single"/>
    <x v="477"/>
    <x v="9"/>
    <n v="2"/>
    <x v="1"/>
    <x v="3"/>
    <n v="19"/>
    <x v="0"/>
    <x v="1"/>
  </r>
  <r>
    <x v="479"/>
    <n v="39"/>
    <x v="0"/>
    <x v="3"/>
    <x v="0"/>
    <s v="Diploma"/>
    <s v="Married"/>
    <x v="478"/>
    <x v="18"/>
    <n v="5"/>
    <x v="0"/>
    <x v="1"/>
    <n v="6"/>
    <x v="0"/>
    <x v="3"/>
  </r>
  <r>
    <x v="480"/>
    <n v="56"/>
    <x v="0"/>
    <x v="3"/>
    <x v="0"/>
    <s v="Master"/>
    <s v="Married"/>
    <x v="479"/>
    <x v="19"/>
    <n v="2"/>
    <x v="0"/>
    <x v="0"/>
    <n v="65"/>
    <x v="1"/>
    <x v="0"/>
  </r>
  <r>
    <x v="481"/>
    <n v="32"/>
    <x v="0"/>
    <x v="0"/>
    <x v="2"/>
    <s v="MBA"/>
    <s v="Single"/>
    <x v="480"/>
    <x v="6"/>
    <n v="7"/>
    <x v="1"/>
    <x v="1"/>
    <n v="80"/>
    <x v="1"/>
    <x v="4"/>
  </r>
  <r>
    <x v="482"/>
    <n v="39"/>
    <x v="1"/>
    <x v="2"/>
    <x v="2"/>
    <s v="Bachelor"/>
    <s v="Single"/>
    <x v="481"/>
    <x v="11"/>
    <n v="3"/>
    <x v="0"/>
    <x v="0"/>
    <n v="68"/>
    <x v="0"/>
    <x v="2"/>
  </r>
  <r>
    <x v="483"/>
    <n v="32"/>
    <x v="0"/>
    <x v="5"/>
    <x v="0"/>
    <s v="Bachelor"/>
    <s v="Married"/>
    <x v="482"/>
    <x v="10"/>
    <n v="9"/>
    <x v="0"/>
    <x v="2"/>
    <n v="56"/>
    <x v="1"/>
    <x v="2"/>
  </r>
  <r>
    <x v="484"/>
    <n v="29"/>
    <x v="0"/>
    <x v="0"/>
    <x v="2"/>
    <s v="MBA"/>
    <s v="Single"/>
    <x v="483"/>
    <x v="12"/>
    <n v="5"/>
    <x v="0"/>
    <x v="3"/>
    <n v="40"/>
    <x v="0"/>
    <x v="3"/>
  </r>
  <r>
    <x v="485"/>
    <n v="27"/>
    <x v="1"/>
    <x v="1"/>
    <x v="4"/>
    <s v="MBA"/>
    <s v="Single"/>
    <x v="484"/>
    <x v="19"/>
    <n v="8"/>
    <x v="0"/>
    <x v="2"/>
    <n v="71"/>
    <x v="1"/>
    <x v="1"/>
  </r>
  <r>
    <x v="486"/>
    <n v="48"/>
    <x v="0"/>
    <x v="2"/>
    <x v="3"/>
    <s v="MBA"/>
    <s v="Single"/>
    <x v="485"/>
    <x v="7"/>
    <n v="1"/>
    <x v="0"/>
    <x v="3"/>
    <n v="73"/>
    <x v="0"/>
    <x v="4"/>
  </r>
  <r>
    <x v="487"/>
    <n v="34"/>
    <x v="0"/>
    <x v="1"/>
    <x v="3"/>
    <s v="Master"/>
    <s v="Single"/>
    <x v="486"/>
    <x v="16"/>
    <n v="1"/>
    <x v="1"/>
    <x v="2"/>
    <n v="71"/>
    <x v="0"/>
    <x v="0"/>
  </r>
  <r>
    <x v="488"/>
    <n v="51"/>
    <x v="0"/>
    <x v="2"/>
    <x v="0"/>
    <s v="Bachelor"/>
    <s v="Married"/>
    <x v="487"/>
    <x v="2"/>
    <n v="6"/>
    <x v="0"/>
    <x v="1"/>
    <n v="51"/>
    <x v="0"/>
    <x v="1"/>
  </r>
  <r>
    <x v="489"/>
    <n v="39"/>
    <x v="1"/>
    <x v="1"/>
    <x v="1"/>
    <s v="MBA"/>
    <s v="Single"/>
    <x v="488"/>
    <x v="13"/>
    <n v="1"/>
    <x v="1"/>
    <x v="2"/>
    <n v="87"/>
    <x v="0"/>
    <x v="3"/>
  </r>
  <r>
    <x v="490"/>
    <n v="36"/>
    <x v="1"/>
    <x v="0"/>
    <x v="0"/>
    <s v="Master"/>
    <s v="Single"/>
    <x v="489"/>
    <x v="12"/>
    <n v="1"/>
    <x v="0"/>
    <x v="2"/>
    <n v="6"/>
    <x v="1"/>
    <x v="1"/>
  </r>
  <r>
    <x v="491"/>
    <n v="25"/>
    <x v="1"/>
    <x v="2"/>
    <x v="2"/>
    <s v="Bachelor"/>
    <s v="Single"/>
    <x v="490"/>
    <x v="7"/>
    <n v="3"/>
    <x v="0"/>
    <x v="1"/>
    <n v="48"/>
    <x v="0"/>
    <x v="3"/>
  </r>
  <r>
    <x v="492"/>
    <n v="55"/>
    <x v="1"/>
    <x v="2"/>
    <x v="1"/>
    <s v="Diploma"/>
    <s v="Married"/>
    <x v="491"/>
    <x v="2"/>
    <n v="8"/>
    <x v="1"/>
    <x v="3"/>
    <n v="68"/>
    <x v="1"/>
    <x v="2"/>
  </r>
  <r>
    <x v="493"/>
    <n v="32"/>
    <x v="0"/>
    <x v="3"/>
    <x v="2"/>
    <s v="Master"/>
    <s v="Married"/>
    <x v="492"/>
    <x v="2"/>
    <n v="7"/>
    <x v="1"/>
    <x v="3"/>
    <n v="85"/>
    <x v="0"/>
    <x v="2"/>
  </r>
  <r>
    <x v="494"/>
    <n v="45"/>
    <x v="1"/>
    <x v="3"/>
    <x v="4"/>
    <s v="Bachelor"/>
    <s v="Single"/>
    <x v="493"/>
    <x v="11"/>
    <n v="1"/>
    <x v="0"/>
    <x v="1"/>
    <n v="82"/>
    <x v="0"/>
    <x v="1"/>
  </r>
  <r>
    <x v="495"/>
    <n v="41"/>
    <x v="1"/>
    <x v="4"/>
    <x v="2"/>
    <s v="Master"/>
    <s v="Single"/>
    <x v="494"/>
    <x v="15"/>
    <n v="7"/>
    <x v="0"/>
    <x v="2"/>
    <n v="32"/>
    <x v="1"/>
    <x v="4"/>
  </r>
  <r>
    <x v="496"/>
    <n v="56"/>
    <x v="0"/>
    <x v="1"/>
    <x v="4"/>
    <s v="Bachelor"/>
    <s v="Married"/>
    <x v="495"/>
    <x v="2"/>
    <n v="3"/>
    <x v="1"/>
    <x v="2"/>
    <n v="95"/>
    <x v="1"/>
    <x v="0"/>
  </r>
  <r>
    <x v="497"/>
    <n v="43"/>
    <x v="0"/>
    <x v="3"/>
    <x v="4"/>
    <s v="Bachelor"/>
    <s v="Single"/>
    <x v="496"/>
    <x v="17"/>
    <n v="1"/>
    <x v="1"/>
    <x v="2"/>
    <n v="58"/>
    <x v="1"/>
    <x v="3"/>
  </r>
  <r>
    <x v="498"/>
    <n v="36"/>
    <x v="0"/>
    <x v="4"/>
    <x v="2"/>
    <s v="Diploma"/>
    <s v="Single"/>
    <x v="497"/>
    <x v="1"/>
    <n v="9"/>
    <x v="1"/>
    <x v="0"/>
    <n v="78"/>
    <x v="0"/>
    <x v="0"/>
  </r>
  <r>
    <x v="499"/>
    <n v="59"/>
    <x v="1"/>
    <x v="3"/>
    <x v="2"/>
    <s v="Master"/>
    <s v="Married"/>
    <x v="498"/>
    <x v="6"/>
    <n v="6"/>
    <x v="1"/>
    <x v="3"/>
    <n v="71"/>
    <x v="0"/>
    <x v="2"/>
  </r>
  <r>
    <x v="500"/>
    <n v="59"/>
    <x v="1"/>
    <x v="1"/>
    <x v="4"/>
    <s v="MBA"/>
    <s v="Single"/>
    <x v="499"/>
    <x v="3"/>
    <n v="5"/>
    <x v="0"/>
    <x v="2"/>
    <n v="40"/>
    <x v="1"/>
    <x v="4"/>
  </r>
  <r>
    <x v="501"/>
    <n v="34"/>
    <x v="1"/>
    <x v="2"/>
    <x v="1"/>
    <s v="Diploma"/>
    <s v="Single"/>
    <x v="500"/>
    <x v="8"/>
    <n v="9"/>
    <x v="0"/>
    <x v="3"/>
    <n v="67"/>
    <x v="0"/>
    <x v="4"/>
  </r>
  <r>
    <x v="502"/>
    <n v="51"/>
    <x v="0"/>
    <x v="5"/>
    <x v="4"/>
    <s v="Diploma"/>
    <s v="Married"/>
    <x v="501"/>
    <x v="16"/>
    <n v="4"/>
    <x v="0"/>
    <x v="2"/>
    <n v="29"/>
    <x v="1"/>
    <x v="0"/>
  </r>
  <r>
    <x v="503"/>
    <n v="25"/>
    <x v="0"/>
    <x v="1"/>
    <x v="3"/>
    <s v="Bachelor"/>
    <s v="Married"/>
    <x v="502"/>
    <x v="13"/>
    <n v="0"/>
    <x v="0"/>
    <x v="1"/>
    <n v="90"/>
    <x v="0"/>
    <x v="2"/>
  </r>
  <r>
    <x v="504"/>
    <n v="55"/>
    <x v="1"/>
    <x v="0"/>
    <x v="4"/>
    <s v="MBA"/>
    <s v="Single"/>
    <x v="503"/>
    <x v="2"/>
    <n v="1"/>
    <x v="0"/>
    <x v="1"/>
    <n v="52"/>
    <x v="0"/>
    <x v="0"/>
  </r>
  <r>
    <x v="505"/>
    <n v="43"/>
    <x v="0"/>
    <x v="3"/>
    <x v="1"/>
    <s v="Master"/>
    <s v="Married"/>
    <x v="504"/>
    <x v="18"/>
    <n v="7"/>
    <x v="1"/>
    <x v="3"/>
    <n v="43"/>
    <x v="0"/>
    <x v="1"/>
  </r>
  <r>
    <x v="506"/>
    <n v="49"/>
    <x v="0"/>
    <x v="3"/>
    <x v="3"/>
    <s v="MBA"/>
    <s v="Single"/>
    <x v="505"/>
    <x v="5"/>
    <n v="0"/>
    <x v="1"/>
    <x v="3"/>
    <n v="51"/>
    <x v="1"/>
    <x v="4"/>
  </r>
  <r>
    <x v="507"/>
    <n v="31"/>
    <x v="0"/>
    <x v="2"/>
    <x v="0"/>
    <s v="MBA"/>
    <s v="Single"/>
    <x v="506"/>
    <x v="7"/>
    <n v="2"/>
    <x v="1"/>
    <x v="1"/>
    <n v="98"/>
    <x v="0"/>
    <x v="4"/>
  </r>
  <r>
    <x v="508"/>
    <n v="38"/>
    <x v="1"/>
    <x v="0"/>
    <x v="0"/>
    <s v="MBA"/>
    <s v="Single"/>
    <x v="507"/>
    <x v="18"/>
    <n v="1"/>
    <x v="0"/>
    <x v="0"/>
    <n v="25"/>
    <x v="1"/>
    <x v="1"/>
  </r>
  <r>
    <x v="509"/>
    <n v="32"/>
    <x v="0"/>
    <x v="2"/>
    <x v="1"/>
    <s v="MBA"/>
    <s v="Married"/>
    <x v="508"/>
    <x v="10"/>
    <n v="4"/>
    <x v="1"/>
    <x v="1"/>
    <n v="34"/>
    <x v="1"/>
    <x v="2"/>
  </r>
  <r>
    <x v="510"/>
    <n v="29"/>
    <x v="0"/>
    <x v="0"/>
    <x v="4"/>
    <s v="MBA"/>
    <s v="Married"/>
    <x v="509"/>
    <x v="1"/>
    <n v="3"/>
    <x v="0"/>
    <x v="2"/>
    <n v="96"/>
    <x v="0"/>
    <x v="4"/>
  </r>
  <r>
    <x v="511"/>
    <n v="30"/>
    <x v="1"/>
    <x v="5"/>
    <x v="2"/>
    <s v="Bachelor"/>
    <s v="Single"/>
    <x v="510"/>
    <x v="11"/>
    <n v="6"/>
    <x v="0"/>
    <x v="0"/>
    <n v="35"/>
    <x v="1"/>
    <x v="3"/>
  </r>
  <r>
    <x v="512"/>
    <n v="37"/>
    <x v="1"/>
    <x v="3"/>
    <x v="1"/>
    <s v="Bachelor"/>
    <s v="Single"/>
    <x v="511"/>
    <x v="3"/>
    <n v="4"/>
    <x v="0"/>
    <x v="1"/>
    <n v="30"/>
    <x v="1"/>
    <x v="3"/>
  </r>
  <r>
    <x v="513"/>
    <n v="58"/>
    <x v="0"/>
    <x v="3"/>
    <x v="3"/>
    <s v="Diploma"/>
    <s v="Married"/>
    <x v="512"/>
    <x v="18"/>
    <n v="7"/>
    <x v="1"/>
    <x v="0"/>
    <n v="26"/>
    <x v="0"/>
    <x v="2"/>
  </r>
  <r>
    <x v="514"/>
    <n v="27"/>
    <x v="0"/>
    <x v="5"/>
    <x v="3"/>
    <s v="Bachelor"/>
    <s v="Married"/>
    <x v="513"/>
    <x v="3"/>
    <n v="3"/>
    <x v="0"/>
    <x v="0"/>
    <n v="25"/>
    <x v="1"/>
    <x v="1"/>
  </r>
  <r>
    <x v="515"/>
    <n v="33"/>
    <x v="1"/>
    <x v="4"/>
    <x v="0"/>
    <s v="Diploma"/>
    <s v="Married"/>
    <x v="514"/>
    <x v="9"/>
    <n v="5"/>
    <x v="0"/>
    <x v="0"/>
    <n v="5"/>
    <x v="1"/>
    <x v="0"/>
  </r>
  <r>
    <x v="516"/>
    <n v="29"/>
    <x v="1"/>
    <x v="2"/>
    <x v="3"/>
    <s v="Diploma"/>
    <s v="Single"/>
    <x v="515"/>
    <x v="1"/>
    <n v="3"/>
    <x v="1"/>
    <x v="3"/>
    <n v="41"/>
    <x v="0"/>
    <x v="2"/>
  </r>
  <r>
    <x v="517"/>
    <n v="47"/>
    <x v="0"/>
    <x v="5"/>
    <x v="1"/>
    <s v="Master"/>
    <s v="Married"/>
    <x v="516"/>
    <x v="6"/>
    <n v="1"/>
    <x v="0"/>
    <x v="1"/>
    <n v="81"/>
    <x v="0"/>
    <x v="0"/>
  </r>
  <r>
    <x v="518"/>
    <n v="22"/>
    <x v="0"/>
    <x v="2"/>
    <x v="3"/>
    <s v="MBA"/>
    <s v="Married"/>
    <x v="517"/>
    <x v="9"/>
    <n v="0"/>
    <x v="1"/>
    <x v="3"/>
    <n v="89"/>
    <x v="0"/>
    <x v="2"/>
  </r>
  <r>
    <x v="519"/>
    <n v="25"/>
    <x v="0"/>
    <x v="1"/>
    <x v="1"/>
    <s v="Bachelor"/>
    <s v="Single"/>
    <x v="518"/>
    <x v="19"/>
    <n v="0"/>
    <x v="0"/>
    <x v="3"/>
    <n v="50"/>
    <x v="1"/>
    <x v="3"/>
  </r>
  <r>
    <x v="520"/>
    <n v="49"/>
    <x v="0"/>
    <x v="3"/>
    <x v="2"/>
    <s v="Master"/>
    <s v="Single"/>
    <x v="519"/>
    <x v="10"/>
    <n v="7"/>
    <x v="1"/>
    <x v="2"/>
    <n v="13"/>
    <x v="1"/>
    <x v="1"/>
  </r>
  <r>
    <x v="521"/>
    <n v="57"/>
    <x v="1"/>
    <x v="2"/>
    <x v="0"/>
    <s v="Bachelor"/>
    <s v="Single"/>
    <x v="520"/>
    <x v="5"/>
    <n v="3"/>
    <x v="0"/>
    <x v="2"/>
    <n v="21"/>
    <x v="0"/>
    <x v="3"/>
  </r>
  <r>
    <x v="522"/>
    <n v="58"/>
    <x v="0"/>
    <x v="0"/>
    <x v="3"/>
    <s v="Diploma"/>
    <s v="Married"/>
    <x v="521"/>
    <x v="6"/>
    <n v="4"/>
    <x v="0"/>
    <x v="0"/>
    <n v="51"/>
    <x v="1"/>
    <x v="1"/>
  </r>
  <r>
    <x v="523"/>
    <n v="39"/>
    <x v="0"/>
    <x v="2"/>
    <x v="1"/>
    <s v="Bachelor"/>
    <s v="Single"/>
    <x v="522"/>
    <x v="18"/>
    <n v="7"/>
    <x v="1"/>
    <x v="0"/>
    <n v="89"/>
    <x v="0"/>
    <x v="0"/>
  </r>
  <r>
    <x v="524"/>
    <n v="28"/>
    <x v="1"/>
    <x v="1"/>
    <x v="4"/>
    <s v="MBA"/>
    <s v="Single"/>
    <x v="523"/>
    <x v="18"/>
    <n v="6"/>
    <x v="0"/>
    <x v="2"/>
    <n v="99"/>
    <x v="0"/>
    <x v="2"/>
  </r>
  <r>
    <x v="525"/>
    <n v="21"/>
    <x v="0"/>
    <x v="3"/>
    <x v="0"/>
    <s v="Diploma"/>
    <s v="Single"/>
    <x v="524"/>
    <x v="18"/>
    <n v="7"/>
    <x v="1"/>
    <x v="2"/>
    <n v="63"/>
    <x v="0"/>
    <x v="4"/>
  </r>
  <r>
    <x v="526"/>
    <n v="42"/>
    <x v="1"/>
    <x v="5"/>
    <x v="2"/>
    <s v="Diploma"/>
    <s v="Single"/>
    <x v="525"/>
    <x v="18"/>
    <n v="7"/>
    <x v="0"/>
    <x v="1"/>
    <n v="58"/>
    <x v="1"/>
    <x v="4"/>
  </r>
  <r>
    <x v="527"/>
    <n v="37"/>
    <x v="0"/>
    <x v="1"/>
    <x v="1"/>
    <s v="Master"/>
    <s v="Married"/>
    <x v="526"/>
    <x v="5"/>
    <n v="5"/>
    <x v="1"/>
    <x v="0"/>
    <n v="90"/>
    <x v="1"/>
    <x v="1"/>
  </r>
  <r>
    <x v="528"/>
    <n v="27"/>
    <x v="0"/>
    <x v="3"/>
    <x v="2"/>
    <s v="MBA"/>
    <s v="Single"/>
    <x v="527"/>
    <x v="7"/>
    <n v="9"/>
    <x v="0"/>
    <x v="0"/>
    <n v="16"/>
    <x v="0"/>
    <x v="1"/>
  </r>
  <r>
    <x v="529"/>
    <n v="45"/>
    <x v="1"/>
    <x v="2"/>
    <x v="2"/>
    <s v="Diploma"/>
    <s v="Married"/>
    <x v="528"/>
    <x v="7"/>
    <n v="1"/>
    <x v="0"/>
    <x v="2"/>
    <n v="68"/>
    <x v="0"/>
    <x v="3"/>
  </r>
  <r>
    <x v="530"/>
    <n v="24"/>
    <x v="1"/>
    <x v="4"/>
    <x v="3"/>
    <s v="MBA"/>
    <s v="Married"/>
    <x v="529"/>
    <x v="3"/>
    <n v="5"/>
    <x v="0"/>
    <x v="1"/>
    <n v="10"/>
    <x v="1"/>
    <x v="4"/>
  </r>
  <r>
    <x v="531"/>
    <n v="56"/>
    <x v="0"/>
    <x v="4"/>
    <x v="3"/>
    <s v="Bachelor"/>
    <s v="Married"/>
    <x v="530"/>
    <x v="13"/>
    <n v="0"/>
    <x v="1"/>
    <x v="2"/>
    <n v="57"/>
    <x v="0"/>
    <x v="3"/>
  </r>
  <r>
    <x v="532"/>
    <n v="26"/>
    <x v="0"/>
    <x v="0"/>
    <x v="1"/>
    <s v="MBA"/>
    <s v="Single"/>
    <x v="531"/>
    <x v="7"/>
    <n v="0"/>
    <x v="1"/>
    <x v="2"/>
    <n v="20"/>
    <x v="1"/>
    <x v="0"/>
  </r>
  <r>
    <x v="533"/>
    <n v="51"/>
    <x v="0"/>
    <x v="3"/>
    <x v="4"/>
    <s v="Diploma"/>
    <s v="Married"/>
    <x v="532"/>
    <x v="16"/>
    <n v="2"/>
    <x v="1"/>
    <x v="3"/>
    <n v="94"/>
    <x v="0"/>
    <x v="4"/>
  </r>
  <r>
    <x v="534"/>
    <n v="39"/>
    <x v="1"/>
    <x v="4"/>
    <x v="1"/>
    <s v="Master"/>
    <s v="Single"/>
    <x v="533"/>
    <x v="18"/>
    <n v="2"/>
    <x v="1"/>
    <x v="0"/>
    <n v="9"/>
    <x v="0"/>
    <x v="0"/>
  </r>
  <r>
    <x v="535"/>
    <n v="59"/>
    <x v="0"/>
    <x v="5"/>
    <x v="4"/>
    <s v="Diploma"/>
    <s v="Single"/>
    <x v="534"/>
    <x v="15"/>
    <n v="4"/>
    <x v="1"/>
    <x v="1"/>
    <n v="77"/>
    <x v="1"/>
    <x v="2"/>
  </r>
  <r>
    <x v="536"/>
    <n v="47"/>
    <x v="1"/>
    <x v="3"/>
    <x v="2"/>
    <s v="MBA"/>
    <s v="Single"/>
    <x v="535"/>
    <x v="2"/>
    <n v="0"/>
    <x v="0"/>
    <x v="3"/>
    <n v="50"/>
    <x v="1"/>
    <x v="3"/>
  </r>
  <r>
    <x v="537"/>
    <n v="30"/>
    <x v="1"/>
    <x v="5"/>
    <x v="0"/>
    <s v="MBA"/>
    <s v="Married"/>
    <x v="536"/>
    <x v="8"/>
    <n v="9"/>
    <x v="0"/>
    <x v="0"/>
    <n v="18"/>
    <x v="1"/>
    <x v="1"/>
  </r>
  <r>
    <x v="538"/>
    <n v="46"/>
    <x v="0"/>
    <x v="5"/>
    <x v="1"/>
    <s v="Diploma"/>
    <s v="Single"/>
    <x v="537"/>
    <x v="2"/>
    <n v="5"/>
    <x v="0"/>
    <x v="2"/>
    <n v="48"/>
    <x v="1"/>
    <x v="4"/>
  </r>
  <r>
    <x v="539"/>
    <n v="39"/>
    <x v="1"/>
    <x v="4"/>
    <x v="1"/>
    <s v="MBA"/>
    <s v="Single"/>
    <x v="538"/>
    <x v="17"/>
    <n v="6"/>
    <x v="0"/>
    <x v="1"/>
    <n v="67"/>
    <x v="1"/>
    <x v="3"/>
  </r>
  <r>
    <x v="540"/>
    <n v="59"/>
    <x v="0"/>
    <x v="3"/>
    <x v="4"/>
    <s v="Bachelor"/>
    <s v="Single"/>
    <x v="539"/>
    <x v="3"/>
    <n v="9"/>
    <x v="0"/>
    <x v="0"/>
    <n v="98"/>
    <x v="0"/>
    <x v="1"/>
  </r>
  <r>
    <x v="541"/>
    <n v="23"/>
    <x v="0"/>
    <x v="2"/>
    <x v="2"/>
    <s v="Diploma"/>
    <s v="Married"/>
    <x v="540"/>
    <x v="9"/>
    <n v="2"/>
    <x v="1"/>
    <x v="2"/>
    <n v="56"/>
    <x v="0"/>
    <x v="2"/>
  </r>
  <r>
    <x v="542"/>
    <n v="33"/>
    <x v="0"/>
    <x v="1"/>
    <x v="2"/>
    <s v="Master"/>
    <s v="Married"/>
    <x v="541"/>
    <x v="13"/>
    <n v="3"/>
    <x v="0"/>
    <x v="3"/>
    <n v="30"/>
    <x v="1"/>
    <x v="4"/>
  </r>
  <r>
    <x v="543"/>
    <n v="48"/>
    <x v="0"/>
    <x v="4"/>
    <x v="4"/>
    <s v="Diploma"/>
    <s v="Married"/>
    <x v="542"/>
    <x v="4"/>
    <n v="9"/>
    <x v="1"/>
    <x v="1"/>
    <n v="57"/>
    <x v="1"/>
    <x v="0"/>
  </r>
  <r>
    <x v="544"/>
    <n v="40"/>
    <x v="0"/>
    <x v="4"/>
    <x v="2"/>
    <s v="Bachelor"/>
    <s v="Single"/>
    <x v="543"/>
    <x v="17"/>
    <n v="9"/>
    <x v="0"/>
    <x v="0"/>
    <n v="33"/>
    <x v="0"/>
    <x v="2"/>
  </r>
  <r>
    <x v="545"/>
    <n v="48"/>
    <x v="1"/>
    <x v="2"/>
    <x v="3"/>
    <s v="Bachelor"/>
    <s v="Married"/>
    <x v="544"/>
    <x v="6"/>
    <n v="9"/>
    <x v="1"/>
    <x v="3"/>
    <n v="23"/>
    <x v="0"/>
    <x v="1"/>
  </r>
  <r>
    <x v="546"/>
    <n v="28"/>
    <x v="1"/>
    <x v="3"/>
    <x v="0"/>
    <s v="Bachelor"/>
    <s v="Single"/>
    <x v="545"/>
    <x v="16"/>
    <n v="9"/>
    <x v="1"/>
    <x v="2"/>
    <n v="51"/>
    <x v="1"/>
    <x v="4"/>
  </r>
  <r>
    <x v="547"/>
    <n v="59"/>
    <x v="0"/>
    <x v="3"/>
    <x v="1"/>
    <s v="Bachelor"/>
    <s v="Single"/>
    <x v="546"/>
    <x v="5"/>
    <n v="9"/>
    <x v="1"/>
    <x v="2"/>
    <n v="12"/>
    <x v="1"/>
    <x v="4"/>
  </r>
  <r>
    <x v="548"/>
    <n v="21"/>
    <x v="0"/>
    <x v="5"/>
    <x v="0"/>
    <s v="Bachelor"/>
    <s v="Married"/>
    <x v="547"/>
    <x v="3"/>
    <n v="2"/>
    <x v="0"/>
    <x v="0"/>
    <n v="27"/>
    <x v="0"/>
    <x v="2"/>
  </r>
  <r>
    <x v="549"/>
    <n v="23"/>
    <x v="1"/>
    <x v="2"/>
    <x v="1"/>
    <s v="Master"/>
    <s v="Single"/>
    <x v="548"/>
    <x v="4"/>
    <n v="0"/>
    <x v="0"/>
    <x v="2"/>
    <n v="39"/>
    <x v="1"/>
    <x v="4"/>
  </r>
  <r>
    <x v="550"/>
    <n v="33"/>
    <x v="1"/>
    <x v="2"/>
    <x v="3"/>
    <s v="MBA"/>
    <s v="Married"/>
    <x v="549"/>
    <x v="4"/>
    <n v="7"/>
    <x v="0"/>
    <x v="1"/>
    <n v="99"/>
    <x v="0"/>
    <x v="1"/>
  </r>
  <r>
    <x v="551"/>
    <n v="48"/>
    <x v="1"/>
    <x v="3"/>
    <x v="2"/>
    <s v="Bachelor"/>
    <s v="Single"/>
    <x v="550"/>
    <x v="1"/>
    <n v="9"/>
    <x v="0"/>
    <x v="0"/>
    <n v="57"/>
    <x v="0"/>
    <x v="2"/>
  </r>
  <r>
    <x v="552"/>
    <n v="45"/>
    <x v="1"/>
    <x v="5"/>
    <x v="4"/>
    <s v="Bachelor"/>
    <s v="Married"/>
    <x v="551"/>
    <x v="11"/>
    <n v="9"/>
    <x v="1"/>
    <x v="3"/>
    <n v="62"/>
    <x v="1"/>
    <x v="0"/>
  </r>
  <r>
    <x v="553"/>
    <n v="53"/>
    <x v="0"/>
    <x v="4"/>
    <x v="3"/>
    <s v="Diploma"/>
    <s v="Single"/>
    <x v="552"/>
    <x v="2"/>
    <n v="1"/>
    <x v="1"/>
    <x v="0"/>
    <n v="9"/>
    <x v="0"/>
    <x v="2"/>
  </r>
  <r>
    <x v="554"/>
    <n v="58"/>
    <x v="0"/>
    <x v="0"/>
    <x v="0"/>
    <s v="Master"/>
    <s v="Single"/>
    <x v="553"/>
    <x v="8"/>
    <n v="0"/>
    <x v="1"/>
    <x v="0"/>
    <n v="20"/>
    <x v="0"/>
    <x v="2"/>
  </r>
  <r>
    <x v="555"/>
    <n v="26"/>
    <x v="1"/>
    <x v="1"/>
    <x v="4"/>
    <s v="Master"/>
    <s v="Single"/>
    <x v="554"/>
    <x v="9"/>
    <n v="7"/>
    <x v="1"/>
    <x v="3"/>
    <n v="21"/>
    <x v="0"/>
    <x v="0"/>
  </r>
  <r>
    <x v="556"/>
    <n v="52"/>
    <x v="0"/>
    <x v="4"/>
    <x v="2"/>
    <s v="MBA"/>
    <s v="Single"/>
    <x v="555"/>
    <x v="5"/>
    <n v="6"/>
    <x v="0"/>
    <x v="2"/>
    <n v="36"/>
    <x v="1"/>
    <x v="1"/>
  </r>
  <r>
    <x v="557"/>
    <n v="41"/>
    <x v="1"/>
    <x v="3"/>
    <x v="3"/>
    <s v="Master"/>
    <s v="Single"/>
    <x v="556"/>
    <x v="16"/>
    <n v="6"/>
    <x v="1"/>
    <x v="3"/>
    <n v="56"/>
    <x v="0"/>
    <x v="3"/>
  </r>
  <r>
    <x v="558"/>
    <n v="36"/>
    <x v="0"/>
    <x v="1"/>
    <x v="4"/>
    <s v="Diploma"/>
    <s v="Married"/>
    <x v="557"/>
    <x v="9"/>
    <n v="3"/>
    <x v="0"/>
    <x v="1"/>
    <n v="24"/>
    <x v="1"/>
    <x v="3"/>
  </r>
  <r>
    <x v="559"/>
    <n v="41"/>
    <x v="1"/>
    <x v="0"/>
    <x v="3"/>
    <s v="Diploma"/>
    <s v="Single"/>
    <x v="558"/>
    <x v="13"/>
    <n v="8"/>
    <x v="1"/>
    <x v="2"/>
    <n v="70"/>
    <x v="0"/>
    <x v="0"/>
  </r>
  <r>
    <x v="560"/>
    <n v="31"/>
    <x v="0"/>
    <x v="0"/>
    <x v="3"/>
    <s v="MBA"/>
    <s v="Married"/>
    <x v="559"/>
    <x v="9"/>
    <n v="5"/>
    <x v="1"/>
    <x v="0"/>
    <n v="88"/>
    <x v="0"/>
    <x v="1"/>
  </r>
  <r>
    <x v="561"/>
    <n v="57"/>
    <x v="1"/>
    <x v="5"/>
    <x v="2"/>
    <s v="Diploma"/>
    <s v="Married"/>
    <x v="560"/>
    <x v="6"/>
    <n v="1"/>
    <x v="1"/>
    <x v="2"/>
    <n v="86"/>
    <x v="0"/>
    <x v="4"/>
  </r>
  <r>
    <x v="562"/>
    <n v="56"/>
    <x v="1"/>
    <x v="1"/>
    <x v="1"/>
    <s v="Bachelor"/>
    <s v="Married"/>
    <x v="561"/>
    <x v="7"/>
    <n v="0"/>
    <x v="0"/>
    <x v="2"/>
    <n v="5"/>
    <x v="0"/>
    <x v="0"/>
  </r>
  <r>
    <x v="563"/>
    <n v="55"/>
    <x v="0"/>
    <x v="5"/>
    <x v="4"/>
    <s v="Bachelor"/>
    <s v="Single"/>
    <x v="562"/>
    <x v="3"/>
    <n v="0"/>
    <x v="0"/>
    <x v="1"/>
    <n v="62"/>
    <x v="0"/>
    <x v="3"/>
  </r>
  <r>
    <x v="564"/>
    <n v="39"/>
    <x v="1"/>
    <x v="4"/>
    <x v="2"/>
    <s v="Diploma"/>
    <s v="Single"/>
    <x v="563"/>
    <x v="18"/>
    <n v="8"/>
    <x v="1"/>
    <x v="2"/>
    <n v="97"/>
    <x v="1"/>
    <x v="1"/>
  </r>
  <r>
    <x v="565"/>
    <n v="40"/>
    <x v="0"/>
    <x v="2"/>
    <x v="3"/>
    <s v="MBA"/>
    <s v="Single"/>
    <x v="564"/>
    <x v="15"/>
    <n v="3"/>
    <x v="1"/>
    <x v="2"/>
    <n v="97"/>
    <x v="1"/>
    <x v="2"/>
  </r>
  <r>
    <x v="566"/>
    <n v="38"/>
    <x v="0"/>
    <x v="2"/>
    <x v="2"/>
    <s v="Master"/>
    <s v="Married"/>
    <x v="565"/>
    <x v="2"/>
    <n v="4"/>
    <x v="1"/>
    <x v="2"/>
    <n v="87"/>
    <x v="0"/>
    <x v="1"/>
  </r>
  <r>
    <x v="567"/>
    <n v="34"/>
    <x v="1"/>
    <x v="2"/>
    <x v="1"/>
    <s v="MBA"/>
    <s v="Single"/>
    <x v="566"/>
    <x v="4"/>
    <n v="2"/>
    <x v="0"/>
    <x v="0"/>
    <n v="48"/>
    <x v="1"/>
    <x v="1"/>
  </r>
  <r>
    <x v="568"/>
    <n v="35"/>
    <x v="0"/>
    <x v="1"/>
    <x v="4"/>
    <s v="Master"/>
    <s v="Single"/>
    <x v="567"/>
    <x v="15"/>
    <n v="3"/>
    <x v="0"/>
    <x v="2"/>
    <n v="10"/>
    <x v="1"/>
    <x v="3"/>
  </r>
  <r>
    <x v="569"/>
    <n v="51"/>
    <x v="0"/>
    <x v="2"/>
    <x v="1"/>
    <s v="Diploma"/>
    <s v="Married"/>
    <x v="568"/>
    <x v="11"/>
    <n v="7"/>
    <x v="0"/>
    <x v="3"/>
    <n v="54"/>
    <x v="0"/>
    <x v="3"/>
  </r>
  <r>
    <x v="570"/>
    <n v="21"/>
    <x v="0"/>
    <x v="4"/>
    <x v="0"/>
    <s v="Diploma"/>
    <s v="Married"/>
    <x v="569"/>
    <x v="6"/>
    <n v="3"/>
    <x v="1"/>
    <x v="2"/>
    <n v="76"/>
    <x v="1"/>
    <x v="4"/>
  </r>
  <r>
    <x v="571"/>
    <n v="23"/>
    <x v="0"/>
    <x v="5"/>
    <x v="4"/>
    <s v="Bachelor"/>
    <s v="Married"/>
    <x v="570"/>
    <x v="17"/>
    <n v="8"/>
    <x v="0"/>
    <x v="1"/>
    <n v="92"/>
    <x v="1"/>
    <x v="4"/>
  </r>
  <r>
    <x v="572"/>
    <n v="36"/>
    <x v="0"/>
    <x v="1"/>
    <x v="1"/>
    <s v="Master"/>
    <s v="Married"/>
    <x v="571"/>
    <x v="12"/>
    <n v="8"/>
    <x v="1"/>
    <x v="2"/>
    <n v="24"/>
    <x v="1"/>
    <x v="0"/>
  </r>
  <r>
    <x v="573"/>
    <n v="43"/>
    <x v="1"/>
    <x v="5"/>
    <x v="3"/>
    <s v="MBA"/>
    <s v="Married"/>
    <x v="572"/>
    <x v="12"/>
    <n v="5"/>
    <x v="0"/>
    <x v="2"/>
    <n v="18"/>
    <x v="1"/>
    <x v="2"/>
  </r>
  <r>
    <x v="574"/>
    <n v="31"/>
    <x v="0"/>
    <x v="1"/>
    <x v="4"/>
    <s v="Diploma"/>
    <s v="Married"/>
    <x v="573"/>
    <x v="19"/>
    <n v="1"/>
    <x v="1"/>
    <x v="0"/>
    <n v="9"/>
    <x v="0"/>
    <x v="4"/>
  </r>
  <r>
    <x v="575"/>
    <n v="32"/>
    <x v="0"/>
    <x v="5"/>
    <x v="4"/>
    <s v="MBA"/>
    <s v="Single"/>
    <x v="574"/>
    <x v="17"/>
    <n v="9"/>
    <x v="1"/>
    <x v="3"/>
    <n v="45"/>
    <x v="1"/>
    <x v="3"/>
  </r>
  <r>
    <x v="576"/>
    <n v="30"/>
    <x v="0"/>
    <x v="0"/>
    <x v="2"/>
    <s v="Bachelor"/>
    <s v="Married"/>
    <x v="575"/>
    <x v="6"/>
    <n v="6"/>
    <x v="0"/>
    <x v="2"/>
    <n v="44"/>
    <x v="0"/>
    <x v="1"/>
  </r>
  <r>
    <x v="577"/>
    <n v="52"/>
    <x v="0"/>
    <x v="5"/>
    <x v="3"/>
    <s v="Master"/>
    <s v="Single"/>
    <x v="576"/>
    <x v="10"/>
    <n v="8"/>
    <x v="1"/>
    <x v="3"/>
    <n v="38"/>
    <x v="0"/>
    <x v="0"/>
  </r>
  <r>
    <x v="578"/>
    <n v="36"/>
    <x v="0"/>
    <x v="2"/>
    <x v="0"/>
    <s v="Master"/>
    <s v="Single"/>
    <x v="577"/>
    <x v="12"/>
    <n v="5"/>
    <x v="1"/>
    <x v="1"/>
    <n v="84"/>
    <x v="1"/>
    <x v="4"/>
  </r>
  <r>
    <x v="579"/>
    <n v="28"/>
    <x v="1"/>
    <x v="0"/>
    <x v="1"/>
    <s v="Diploma"/>
    <s v="Single"/>
    <x v="578"/>
    <x v="13"/>
    <n v="2"/>
    <x v="1"/>
    <x v="0"/>
    <n v="49"/>
    <x v="0"/>
    <x v="1"/>
  </r>
  <r>
    <x v="580"/>
    <n v="58"/>
    <x v="0"/>
    <x v="5"/>
    <x v="2"/>
    <s v="Master"/>
    <s v="Married"/>
    <x v="579"/>
    <x v="17"/>
    <n v="6"/>
    <x v="0"/>
    <x v="3"/>
    <n v="75"/>
    <x v="1"/>
    <x v="1"/>
  </r>
  <r>
    <x v="581"/>
    <n v="32"/>
    <x v="1"/>
    <x v="1"/>
    <x v="1"/>
    <s v="Diploma"/>
    <s v="Single"/>
    <x v="580"/>
    <x v="1"/>
    <n v="4"/>
    <x v="1"/>
    <x v="0"/>
    <n v="84"/>
    <x v="0"/>
    <x v="4"/>
  </r>
  <r>
    <x v="582"/>
    <n v="44"/>
    <x v="1"/>
    <x v="1"/>
    <x v="0"/>
    <s v="Bachelor"/>
    <s v="Married"/>
    <x v="581"/>
    <x v="18"/>
    <n v="0"/>
    <x v="0"/>
    <x v="2"/>
    <n v="75"/>
    <x v="1"/>
    <x v="2"/>
  </r>
  <r>
    <x v="583"/>
    <n v="48"/>
    <x v="1"/>
    <x v="1"/>
    <x v="0"/>
    <s v="Master"/>
    <s v="Married"/>
    <x v="582"/>
    <x v="18"/>
    <n v="2"/>
    <x v="0"/>
    <x v="1"/>
    <n v="31"/>
    <x v="1"/>
    <x v="2"/>
  </r>
  <r>
    <x v="584"/>
    <n v="28"/>
    <x v="1"/>
    <x v="3"/>
    <x v="4"/>
    <s v="Diploma"/>
    <s v="Single"/>
    <x v="583"/>
    <x v="7"/>
    <n v="4"/>
    <x v="1"/>
    <x v="0"/>
    <n v="82"/>
    <x v="0"/>
    <x v="0"/>
  </r>
  <r>
    <x v="585"/>
    <n v="48"/>
    <x v="0"/>
    <x v="4"/>
    <x v="0"/>
    <s v="MBA"/>
    <s v="Married"/>
    <x v="584"/>
    <x v="13"/>
    <n v="6"/>
    <x v="0"/>
    <x v="2"/>
    <n v="82"/>
    <x v="1"/>
    <x v="2"/>
  </r>
  <r>
    <x v="586"/>
    <n v="56"/>
    <x v="1"/>
    <x v="1"/>
    <x v="1"/>
    <s v="Diploma"/>
    <s v="Single"/>
    <x v="585"/>
    <x v="7"/>
    <n v="2"/>
    <x v="1"/>
    <x v="3"/>
    <n v="48"/>
    <x v="1"/>
    <x v="0"/>
  </r>
  <r>
    <x v="587"/>
    <n v="46"/>
    <x v="1"/>
    <x v="0"/>
    <x v="3"/>
    <s v="Master"/>
    <s v="Single"/>
    <x v="586"/>
    <x v="4"/>
    <n v="5"/>
    <x v="0"/>
    <x v="1"/>
    <n v="37"/>
    <x v="1"/>
    <x v="3"/>
  </r>
  <r>
    <x v="588"/>
    <n v="28"/>
    <x v="0"/>
    <x v="1"/>
    <x v="3"/>
    <s v="Bachelor"/>
    <s v="Married"/>
    <x v="587"/>
    <x v="8"/>
    <n v="4"/>
    <x v="1"/>
    <x v="1"/>
    <n v="37"/>
    <x v="1"/>
    <x v="4"/>
  </r>
  <r>
    <x v="589"/>
    <n v="48"/>
    <x v="0"/>
    <x v="3"/>
    <x v="4"/>
    <s v="Master"/>
    <s v="Single"/>
    <x v="588"/>
    <x v="0"/>
    <n v="0"/>
    <x v="0"/>
    <x v="3"/>
    <n v="48"/>
    <x v="0"/>
    <x v="1"/>
  </r>
  <r>
    <x v="590"/>
    <n v="48"/>
    <x v="0"/>
    <x v="2"/>
    <x v="1"/>
    <s v="Master"/>
    <s v="Single"/>
    <x v="589"/>
    <x v="12"/>
    <n v="9"/>
    <x v="1"/>
    <x v="3"/>
    <n v="24"/>
    <x v="0"/>
    <x v="0"/>
  </r>
  <r>
    <x v="591"/>
    <n v="57"/>
    <x v="1"/>
    <x v="0"/>
    <x v="1"/>
    <s v="Diploma"/>
    <s v="Single"/>
    <x v="590"/>
    <x v="8"/>
    <n v="5"/>
    <x v="1"/>
    <x v="1"/>
    <n v="40"/>
    <x v="0"/>
    <x v="2"/>
  </r>
  <r>
    <x v="592"/>
    <n v="56"/>
    <x v="0"/>
    <x v="3"/>
    <x v="0"/>
    <s v="MBA"/>
    <s v="Married"/>
    <x v="591"/>
    <x v="18"/>
    <n v="7"/>
    <x v="1"/>
    <x v="0"/>
    <n v="11"/>
    <x v="1"/>
    <x v="0"/>
  </r>
  <r>
    <x v="593"/>
    <n v="47"/>
    <x v="0"/>
    <x v="2"/>
    <x v="1"/>
    <s v="Master"/>
    <s v="Single"/>
    <x v="592"/>
    <x v="7"/>
    <n v="0"/>
    <x v="1"/>
    <x v="1"/>
    <n v="36"/>
    <x v="0"/>
    <x v="0"/>
  </r>
  <r>
    <x v="594"/>
    <n v="37"/>
    <x v="1"/>
    <x v="0"/>
    <x v="2"/>
    <s v="MBA"/>
    <s v="Married"/>
    <x v="593"/>
    <x v="7"/>
    <n v="1"/>
    <x v="0"/>
    <x v="3"/>
    <n v="71"/>
    <x v="1"/>
    <x v="2"/>
  </r>
  <r>
    <x v="595"/>
    <n v="29"/>
    <x v="0"/>
    <x v="5"/>
    <x v="0"/>
    <s v="Diploma"/>
    <s v="Married"/>
    <x v="594"/>
    <x v="17"/>
    <n v="3"/>
    <x v="0"/>
    <x v="0"/>
    <n v="43"/>
    <x v="1"/>
    <x v="2"/>
  </r>
  <r>
    <x v="596"/>
    <n v="53"/>
    <x v="0"/>
    <x v="4"/>
    <x v="2"/>
    <s v="MBA"/>
    <s v="Single"/>
    <x v="595"/>
    <x v="15"/>
    <n v="1"/>
    <x v="1"/>
    <x v="2"/>
    <n v="97"/>
    <x v="1"/>
    <x v="4"/>
  </r>
  <r>
    <x v="597"/>
    <n v="40"/>
    <x v="0"/>
    <x v="4"/>
    <x v="4"/>
    <s v="Diploma"/>
    <s v="Single"/>
    <x v="596"/>
    <x v="2"/>
    <n v="8"/>
    <x v="0"/>
    <x v="1"/>
    <n v="28"/>
    <x v="0"/>
    <x v="1"/>
  </r>
  <r>
    <x v="598"/>
    <n v="33"/>
    <x v="0"/>
    <x v="3"/>
    <x v="3"/>
    <s v="Bachelor"/>
    <s v="Married"/>
    <x v="597"/>
    <x v="3"/>
    <n v="9"/>
    <x v="1"/>
    <x v="3"/>
    <n v="90"/>
    <x v="0"/>
    <x v="4"/>
  </r>
  <r>
    <x v="599"/>
    <n v="48"/>
    <x v="1"/>
    <x v="2"/>
    <x v="4"/>
    <s v="MBA"/>
    <s v="Married"/>
    <x v="598"/>
    <x v="19"/>
    <n v="7"/>
    <x v="1"/>
    <x v="2"/>
    <n v="74"/>
    <x v="0"/>
    <x v="4"/>
  </r>
  <r>
    <x v="600"/>
    <n v="49"/>
    <x v="0"/>
    <x v="4"/>
    <x v="3"/>
    <s v="MBA"/>
    <s v="Single"/>
    <x v="599"/>
    <x v="4"/>
    <n v="7"/>
    <x v="0"/>
    <x v="1"/>
    <n v="92"/>
    <x v="0"/>
    <x v="2"/>
  </r>
  <r>
    <x v="601"/>
    <n v="33"/>
    <x v="0"/>
    <x v="2"/>
    <x v="4"/>
    <s v="Bachelor"/>
    <s v="Single"/>
    <x v="600"/>
    <x v="11"/>
    <n v="3"/>
    <x v="0"/>
    <x v="1"/>
    <n v="91"/>
    <x v="1"/>
    <x v="2"/>
  </r>
  <r>
    <x v="602"/>
    <n v="55"/>
    <x v="1"/>
    <x v="2"/>
    <x v="1"/>
    <s v="MBA"/>
    <s v="Married"/>
    <x v="601"/>
    <x v="9"/>
    <n v="4"/>
    <x v="1"/>
    <x v="0"/>
    <n v="58"/>
    <x v="0"/>
    <x v="1"/>
  </r>
  <r>
    <x v="603"/>
    <n v="26"/>
    <x v="0"/>
    <x v="3"/>
    <x v="2"/>
    <s v="Bachelor"/>
    <s v="Married"/>
    <x v="602"/>
    <x v="7"/>
    <n v="3"/>
    <x v="0"/>
    <x v="3"/>
    <n v="42"/>
    <x v="0"/>
    <x v="0"/>
  </r>
  <r>
    <x v="604"/>
    <n v="38"/>
    <x v="1"/>
    <x v="3"/>
    <x v="3"/>
    <s v="Master"/>
    <s v="Married"/>
    <x v="603"/>
    <x v="12"/>
    <n v="8"/>
    <x v="1"/>
    <x v="2"/>
    <n v="78"/>
    <x v="0"/>
    <x v="4"/>
  </r>
  <r>
    <x v="605"/>
    <n v="25"/>
    <x v="0"/>
    <x v="3"/>
    <x v="0"/>
    <s v="Diploma"/>
    <s v="Married"/>
    <x v="604"/>
    <x v="0"/>
    <n v="1"/>
    <x v="0"/>
    <x v="1"/>
    <n v="84"/>
    <x v="0"/>
    <x v="1"/>
  </r>
  <r>
    <x v="606"/>
    <n v="45"/>
    <x v="1"/>
    <x v="4"/>
    <x v="2"/>
    <s v="Bachelor"/>
    <s v="Married"/>
    <x v="605"/>
    <x v="10"/>
    <n v="7"/>
    <x v="0"/>
    <x v="0"/>
    <n v="79"/>
    <x v="1"/>
    <x v="4"/>
  </r>
  <r>
    <x v="607"/>
    <n v="22"/>
    <x v="1"/>
    <x v="3"/>
    <x v="0"/>
    <s v="MBA"/>
    <s v="Single"/>
    <x v="606"/>
    <x v="12"/>
    <n v="1"/>
    <x v="0"/>
    <x v="2"/>
    <n v="36"/>
    <x v="0"/>
    <x v="0"/>
  </r>
  <r>
    <x v="608"/>
    <n v="30"/>
    <x v="1"/>
    <x v="4"/>
    <x v="2"/>
    <s v="Bachelor"/>
    <s v="Married"/>
    <x v="607"/>
    <x v="7"/>
    <n v="0"/>
    <x v="0"/>
    <x v="2"/>
    <n v="49"/>
    <x v="0"/>
    <x v="4"/>
  </r>
  <r>
    <x v="609"/>
    <n v="50"/>
    <x v="1"/>
    <x v="3"/>
    <x v="2"/>
    <s v="MBA"/>
    <s v="Married"/>
    <x v="608"/>
    <x v="5"/>
    <n v="9"/>
    <x v="0"/>
    <x v="1"/>
    <n v="65"/>
    <x v="0"/>
    <x v="3"/>
  </r>
  <r>
    <x v="610"/>
    <n v="25"/>
    <x v="0"/>
    <x v="1"/>
    <x v="4"/>
    <s v="Master"/>
    <s v="Single"/>
    <x v="609"/>
    <x v="3"/>
    <n v="2"/>
    <x v="1"/>
    <x v="2"/>
    <n v="74"/>
    <x v="1"/>
    <x v="1"/>
  </r>
  <r>
    <x v="611"/>
    <n v="53"/>
    <x v="1"/>
    <x v="2"/>
    <x v="3"/>
    <s v="Bachelor"/>
    <s v="Single"/>
    <x v="610"/>
    <x v="0"/>
    <n v="8"/>
    <x v="0"/>
    <x v="1"/>
    <n v="92"/>
    <x v="0"/>
    <x v="2"/>
  </r>
  <r>
    <x v="612"/>
    <n v="21"/>
    <x v="0"/>
    <x v="3"/>
    <x v="3"/>
    <s v="Master"/>
    <s v="Married"/>
    <x v="611"/>
    <x v="10"/>
    <n v="2"/>
    <x v="0"/>
    <x v="0"/>
    <n v="57"/>
    <x v="0"/>
    <x v="4"/>
  </r>
  <r>
    <x v="613"/>
    <n v="38"/>
    <x v="1"/>
    <x v="0"/>
    <x v="2"/>
    <s v="Diploma"/>
    <s v="Married"/>
    <x v="612"/>
    <x v="18"/>
    <n v="8"/>
    <x v="1"/>
    <x v="0"/>
    <n v="55"/>
    <x v="0"/>
    <x v="1"/>
  </r>
  <r>
    <x v="614"/>
    <n v="52"/>
    <x v="1"/>
    <x v="2"/>
    <x v="1"/>
    <s v="MBA"/>
    <s v="Single"/>
    <x v="613"/>
    <x v="4"/>
    <n v="6"/>
    <x v="1"/>
    <x v="2"/>
    <n v="80"/>
    <x v="1"/>
    <x v="1"/>
  </r>
  <r>
    <x v="615"/>
    <n v="31"/>
    <x v="1"/>
    <x v="2"/>
    <x v="1"/>
    <s v="MBA"/>
    <s v="Married"/>
    <x v="614"/>
    <x v="1"/>
    <n v="9"/>
    <x v="1"/>
    <x v="1"/>
    <n v="60"/>
    <x v="1"/>
    <x v="4"/>
  </r>
  <r>
    <x v="616"/>
    <n v="41"/>
    <x v="0"/>
    <x v="3"/>
    <x v="0"/>
    <s v="Master"/>
    <s v="Married"/>
    <x v="615"/>
    <x v="5"/>
    <n v="0"/>
    <x v="0"/>
    <x v="3"/>
    <n v="31"/>
    <x v="0"/>
    <x v="2"/>
  </r>
  <r>
    <x v="617"/>
    <n v="46"/>
    <x v="1"/>
    <x v="5"/>
    <x v="0"/>
    <s v="Diploma"/>
    <s v="Single"/>
    <x v="616"/>
    <x v="6"/>
    <n v="9"/>
    <x v="0"/>
    <x v="0"/>
    <n v="42"/>
    <x v="0"/>
    <x v="2"/>
  </r>
  <r>
    <x v="618"/>
    <n v="45"/>
    <x v="0"/>
    <x v="3"/>
    <x v="4"/>
    <s v="Bachelor"/>
    <s v="Married"/>
    <x v="617"/>
    <x v="14"/>
    <n v="4"/>
    <x v="1"/>
    <x v="1"/>
    <n v="66"/>
    <x v="1"/>
    <x v="4"/>
  </r>
  <r>
    <x v="619"/>
    <n v="42"/>
    <x v="0"/>
    <x v="2"/>
    <x v="2"/>
    <s v="Bachelor"/>
    <s v="Single"/>
    <x v="618"/>
    <x v="15"/>
    <n v="8"/>
    <x v="1"/>
    <x v="1"/>
    <n v="22"/>
    <x v="1"/>
    <x v="1"/>
  </r>
  <r>
    <x v="620"/>
    <n v="47"/>
    <x v="0"/>
    <x v="0"/>
    <x v="0"/>
    <s v="MBA"/>
    <s v="Single"/>
    <x v="619"/>
    <x v="16"/>
    <n v="2"/>
    <x v="1"/>
    <x v="1"/>
    <n v="68"/>
    <x v="1"/>
    <x v="2"/>
  </r>
  <r>
    <x v="621"/>
    <n v="33"/>
    <x v="0"/>
    <x v="2"/>
    <x v="0"/>
    <s v="Master"/>
    <s v="Single"/>
    <x v="620"/>
    <x v="15"/>
    <n v="8"/>
    <x v="1"/>
    <x v="2"/>
    <n v="81"/>
    <x v="1"/>
    <x v="4"/>
  </r>
  <r>
    <x v="622"/>
    <n v="53"/>
    <x v="0"/>
    <x v="0"/>
    <x v="2"/>
    <s v="Master"/>
    <s v="Single"/>
    <x v="621"/>
    <x v="6"/>
    <n v="4"/>
    <x v="0"/>
    <x v="3"/>
    <n v="34"/>
    <x v="1"/>
    <x v="4"/>
  </r>
  <r>
    <x v="623"/>
    <n v="54"/>
    <x v="0"/>
    <x v="4"/>
    <x v="4"/>
    <s v="Bachelor"/>
    <s v="Married"/>
    <x v="622"/>
    <x v="6"/>
    <n v="8"/>
    <x v="0"/>
    <x v="2"/>
    <n v="53"/>
    <x v="0"/>
    <x v="4"/>
  </r>
  <r>
    <x v="624"/>
    <n v="55"/>
    <x v="0"/>
    <x v="1"/>
    <x v="0"/>
    <s v="Diploma"/>
    <s v="Single"/>
    <x v="623"/>
    <x v="10"/>
    <n v="9"/>
    <x v="0"/>
    <x v="0"/>
    <n v="45"/>
    <x v="0"/>
    <x v="1"/>
  </r>
  <r>
    <x v="625"/>
    <n v="21"/>
    <x v="0"/>
    <x v="2"/>
    <x v="4"/>
    <s v="Diploma"/>
    <s v="Married"/>
    <x v="624"/>
    <x v="13"/>
    <n v="5"/>
    <x v="0"/>
    <x v="2"/>
    <n v="17"/>
    <x v="0"/>
    <x v="2"/>
  </r>
  <r>
    <x v="626"/>
    <n v="41"/>
    <x v="0"/>
    <x v="3"/>
    <x v="3"/>
    <s v="Bachelor"/>
    <s v="Married"/>
    <x v="625"/>
    <x v="12"/>
    <n v="8"/>
    <x v="0"/>
    <x v="1"/>
    <n v="38"/>
    <x v="0"/>
    <x v="1"/>
  </r>
  <r>
    <x v="627"/>
    <n v="26"/>
    <x v="1"/>
    <x v="4"/>
    <x v="4"/>
    <s v="Bachelor"/>
    <s v="Married"/>
    <x v="626"/>
    <x v="1"/>
    <n v="6"/>
    <x v="1"/>
    <x v="2"/>
    <n v="98"/>
    <x v="1"/>
    <x v="3"/>
  </r>
  <r>
    <x v="628"/>
    <n v="48"/>
    <x v="1"/>
    <x v="1"/>
    <x v="1"/>
    <s v="Master"/>
    <s v="Married"/>
    <x v="627"/>
    <x v="11"/>
    <n v="6"/>
    <x v="0"/>
    <x v="1"/>
    <n v="29"/>
    <x v="1"/>
    <x v="2"/>
  </r>
  <r>
    <x v="629"/>
    <n v="37"/>
    <x v="1"/>
    <x v="3"/>
    <x v="1"/>
    <s v="Diploma"/>
    <s v="Married"/>
    <x v="628"/>
    <x v="7"/>
    <n v="7"/>
    <x v="1"/>
    <x v="3"/>
    <n v="70"/>
    <x v="1"/>
    <x v="1"/>
  </r>
  <r>
    <x v="630"/>
    <n v="25"/>
    <x v="1"/>
    <x v="5"/>
    <x v="4"/>
    <s v="Bachelor"/>
    <s v="Single"/>
    <x v="629"/>
    <x v="15"/>
    <n v="6"/>
    <x v="1"/>
    <x v="2"/>
    <n v="22"/>
    <x v="1"/>
    <x v="2"/>
  </r>
  <r>
    <x v="631"/>
    <n v="51"/>
    <x v="1"/>
    <x v="3"/>
    <x v="1"/>
    <s v="Bachelor"/>
    <s v="Single"/>
    <x v="630"/>
    <x v="11"/>
    <n v="8"/>
    <x v="1"/>
    <x v="2"/>
    <n v="9"/>
    <x v="1"/>
    <x v="3"/>
  </r>
  <r>
    <x v="632"/>
    <n v="25"/>
    <x v="0"/>
    <x v="0"/>
    <x v="3"/>
    <s v="MBA"/>
    <s v="Single"/>
    <x v="631"/>
    <x v="13"/>
    <n v="8"/>
    <x v="0"/>
    <x v="2"/>
    <n v="23"/>
    <x v="0"/>
    <x v="0"/>
  </r>
  <r>
    <x v="633"/>
    <n v="58"/>
    <x v="0"/>
    <x v="0"/>
    <x v="2"/>
    <s v="Bachelor"/>
    <s v="Single"/>
    <x v="632"/>
    <x v="16"/>
    <n v="5"/>
    <x v="1"/>
    <x v="1"/>
    <n v="46"/>
    <x v="0"/>
    <x v="4"/>
  </r>
  <r>
    <x v="634"/>
    <n v="23"/>
    <x v="0"/>
    <x v="5"/>
    <x v="1"/>
    <s v="Bachelor"/>
    <s v="Married"/>
    <x v="633"/>
    <x v="11"/>
    <n v="6"/>
    <x v="0"/>
    <x v="1"/>
    <n v="22"/>
    <x v="0"/>
    <x v="1"/>
  </r>
  <r>
    <x v="635"/>
    <n v="43"/>
    <x v="0"/>
    <x v="4"/>
    <x v="1"/>
    <s v="Diploma"/>
    <s v="Single"/>
    <x v="634"/>
    <x v="4"/>
    <n v="1"/>
    <x v="1"/>
    <x v="2"/>
    <n v="36"/>
    <x v="0"/>
    <x v="3"/>
  </r>
  <r>
    <x v="636"/>
    <n v="57"/>
    <x v="0"/>
    <x v="1"/>
    <x v="4"/>
    <s v="Master"/>
    <s v="Married"/>
    <x v="635"/>
    <x v="18"/>
    <n v="8"/>
    <x v="0"/>
    <x v="2"/>
    <n v="25"/>
    <x v="0"/>
    <x v="3"/>
  </r>
  <r>
    <x v="637"/>
    <n v="57"/>
    <x v="0"/>
    <x v="3"/>
    <x v="3"/>
    <s v="Diploma"/>
    <s v="Married"/>
    <x v="636"/>
    <x v="9"/>
    <n v="0"/>
    <x v="1"/>
    <x v="3"/>
    <n v="14"/>
    <x v="1"/>
    <x v="2"/>
  </r>
  <r>
    <x v="638"/>
    <n v="30"/>
    <x v="0"/>
    <x v="0"/>
    <x v="2"/>
    <s v="Master"/>
    <s v="Single"/>
    <x v="637"/>
    <x v="10"/>
    <n v="0"/>
    <x v="0"/>
    <x v="3"/>
    <n v="41"/>
    <x v="1"/>
    <x v="2"/>
  </r>
  <r>
    <x v="639"/>
    <n v="30"/>
    <x v="1"/>
    <x v="4"/>
    <x v="4"/>
    <s v="MBA"/>
    <s v="Single"/>
    <x v="638"/>
    <x v="2"/>
    <n v="2"/>
    <x v="1"/>
    <x v="0"/>
    <n v="53"/>
    <x v="1"/>
    <x v="4"/>
  </r>
  <r>
    <x v="640"/>
    <n v="39"/>
    <x v="1"/>
    <x v="5"/>
    <x v="4"/>
    <s v="Bachelor"/>
    <s v="Single"/>
    <x v="639"/>
    <x v="15"/>
    <n v="5"/>
    <x v="1"/>
    <x v="3"/>
    <n v="90"/>
    <x v="1"/>
    <x v="2"/>
  </r>
  <r>
    <x v="641"/>
    <n v="37"/>
    <x v="1"/>
    <x v="2"/>
    <x v="3"/>
    <s v="MBA"/>
    <s v="Single"/>
    <x v="640"/>
    <x v="11"/>
    <n v="4"/>
    <x v="1"/>
    <x v="3"/>
    <n v="17"/>
    <x v="1"/>
    <x v="1"/>
  </r>
  <r>
    <x v="642"/>
    <n v="41"/>
    <x v="1"/>
    <x v="0"/>
    <x v="2"/>
    <s v="Master"/>
    <s v="Married"/>
    <x v="641"/>
    <x v="13"/>
    <n v="1"/>
    <x v="1"/>
    <x v="3"/>
    <n v="59"/>
    <x v="0"/>
    <x v="1"/>
  </r>
  <r>
    <x v="643"/>
    <n v="34"/>
    <x v="0"/>
    <x v="5"/>
    <x v="3"/>
    <s v="Diploma"/>
    <s v="Married"/>
    <x v="642"/>
    <x v="16"/>
    <n v="8"/>
    <x v="0"/>
    <x v="1"/>
    <n v="21"/>
    <x v="0"/>
    <x v="1"/>
  </r>
  <r>
    <x v="644"/>
    <n v="29"/>
    <x v="0"/>
    <x v="3"/>
    <x v="2"/>
    <s v="Diploma"/>
    <s v="Single"/>
    <x v="643"/>
    <x v="13"/>
    <n v="9"/>
    <x v="0"/>
    <x v="3"/>
    <n v="13"/>
    <x v="0"/>
    <x v="0"/>
  </r>
  <r>
    <x v="645"/>
    <n v="21"/>
    <x v="0"/>
    <x v="1"/>
    <x v="3"/>
    <s v="MBA"/>
    <s v="Married"/>
    <x v="644"/>
    <x v="15"/>
    <n v="3"/>
    <x v="0"/>
    <x v="3"/>
    <n v="92"/>
    <x v="1"/>
    <x v="1"/>
  </r>
  <r>
    <x v="646"/>
    <n v="33"/>
    <x v="1"/>
    <x v="0"/>
    <x v="4"/>
    <s v="Master"/>
    <s v="Married"/>
    <x v="645"/>
    <x v="15"/>
    <n v="3"/>
    <x v="1"/>
    <x v="2"/>
    <n v="48"/>
    <x v="1"/>
    <x v="2"/>
  </r>
  <r>
    <x v="647"/>
    <n v="24"/>
    <x v="0"/>
    <x v="0"/>
    <x v="4"/>
    <s v="MBA"/>
    <s v="Married"/>
    <x v="646"/>
    <x v="8"/>
    <n v="4"/>
    <x v="1"/>
    <x v="1"/>
    <n v="82"/>
    <x v="1"/>
    <x v="2"/>
  </r>
  <r>
    <x v="648"/>
    <n v="21"/>
    <x v="0"/>
    <x v="3"/>
    <x v="0"/>
    <s v="MBA"/>
    <s v="Single"/>
    <x v="647"/>
    <x v="16"/>
    <n v="7"/>
    <x v="1"/>
    <x v="0"/>
    <n v="50"/>
    <x v="1"/>
    <x v="1"/>
  </r>
  <r>
    <x v="649"/>
    <n v="52"/>
    <x v="0"/>
    <x v="2"/>
    <x v="1"/>
    <s v="Bachelor"/>
    <s v="Married"/>
    <x v="648"/>
    <x v="7"/>
    <n v="9"/>
    <x v="1"/>
    <x v="0"/>
    <n v="12"/>
    <x v="0"/>
    <x v="3"/>
  </r>
  <r>
    <x v="650"/>
    <n v="54"/>
    <x v="1"/>
    <x v="4"/>
    <x v="3"/>
    <s v="MBA"/>
    <s v="Single"/>
    <x v="649"/>
    <x v="10"/>
    <n v="3"/>
    <x v="1"/>
    <x v="3"/>
    <n v="41"/>
    <x v="1"/>
    <x v="3"/>
  </r>
  <r>
    <x v="651"/>
    <n v="48"/>
    <x v="0"/>
    <x v="1"/>
    <x v="0"/>
    <s v="Bachelor"/>
    <s v="Single"/>
    <x v="650"/>
    <x v="4"/>
    <n v="4"/>
    <x v="1"/>
    <x v="0"/>
    <n v="23"/>
    <x v="0"/>
    <x v="3"/>
  </r>
  <r>
    <x v="652"/>
    <n v="51"/>
    <x v="1"/>
    <x v="0"/>
    <x v="1"/>
    <s v="Bachelor"/>
    <s v="Married"/>
    <x v="651"/>
    <x v="6"/>
    <n v="3"/>
    <x v="0"/>
    <x v="0"/>
    <n v="67"/>
    <x v="1"/>
    <x v="4"/>
  </r>
  <r>
    <x v="653"/>
    <n v="28"/>
    <x v="1"/>
    <x v="1"/>
    <x v="3"/>
    <s v="Diploma"/>
    <s v="Married"/>
    <x v="652"/>
    <x v="12"/>
    <n v="5"/>
    <x v="0"/>
    <x v="0"/>
    <n v="96"/>
    <x v="0"/>
    <x v="0"/>
  </r>
  <r>
    <x v="654"/>
    <n v="59"/>
    <x v="1"/>
    <x v="0"/>
    <x v="2"/>
    <s v="Bachelor"/>
    <s v="Single"/>
    <x v="653"/>
    <x v="15"/>
    <n v="2"/>
    <x v="0"/>
    <x v="3"/>
    <n v="50"/>
    <x v="1"/>
    <x v="1"/>
  </r>
  <r>
    <x v="655"/>
    <n v="46"/>
    <x v="1"/>
    <x v="1"/>
    <x v="1"/>
    <s v="Bachelor"/>
    <s v="Married"/>
    <x v="654"/>
    <x v="12"/>
    <n v="7"/>
    <x v="0"/>
    <x v="0"/>
    <n v="98"/>
    <x v="1"/>
    <x v="4"/>
  </r>
  <r>
    <x v="656"/>
    <n v="54"/>
    <x v="0"/>
    <x v="5"/>
    <x v="4"/>
    <s v="Diploma"/>
    <s v="Married"/>
    <x v="655"/>
    <x v="19"/>
    <n v="5"/>
    <x v="0"/>
    <x v="3"/>
    <n v="75"/>
    <x v="0"/>
    <x v="3"/>
  </r>
  <r>
    <x v="657"/>
    <n v="23"/>
    <x v="1"/>
    <x v="0"/>
    <x v="0"/>
    <s v="MBA"/>
    <s v="Single"/>
    <x v="656"/>
    <x v="16"/>
    <n v="9"/>
    <x v="0"/>
    <x v="2"/>
    <n v="30"/>
    <x v="0"/>
    <x v="1"/>
  </r>
  <r>
    <x v="658"/>
    <n v="32"/>
    <x v="1"/>
    <x v="1"/>
    <x v="1"/>
    <s v="Master"/>
    <s v="Single"/>
    <x v="657"/>
    <x v="6"/>
    <n v="4"/>
    <x v="0"/>
    <x v="2"/>
    <n v="50"/>
    <x v="1"/>
    <x v="4"/>
  </r>
  <r>
    <x v="659"/>
    <n v="21"/>
    <x v="0"/>
    <x v="4"/>
    <x v="1"/>
    <s v="Master"/>
    <s v="Single"/>
    <x v="658"/>
    <x v="2"/>
    <n v="1"/>
    <x v="0"/>
    <x v="0"/>
    <n v="50"/>
    <x v="0"/>
    <x v="2"/>
  </r>
  <r>
    <x v="660"/>
    <n v="25"/>
    <x v="0"/>
    <x v="5"/>
    <x v="4"/>
    <s v="Master"/>
    <s v="Single"/>
    <x v="659"/>
    <x v="0"/>
    <n v="9"/>
    <x v="1"/>
    <x v="2"/>
    <n v="79"/>
    <x v="1"/>
    <x v="3"/>
  </r>
  <r>
    <x v="661"/>
    <n v="50"/>
    <x v="1"/>
    <x v="5"/>
    <x v="3"/>
    <s v="MBA"/>
    <s v="Married"/>
    <x v="660"/>
    <x v="11"/>
    <n v="9"/>
    <x v="1"/>
    <x v="3"/>
    <n v="18"/>
    <x v="1"/>
    <x v="4"/>
  </r>
  <r>
    <x v="662"/>
    <n v="50"/>
    <x v="0"/>
    <x v="4"/>
    <x v="2"/>
    <s v="Bachelor"/>
    <s v="Married"/>
    <x v="661"/>
    <x v="10"/>
    <n v="6"/>
    <x v="1"/>
    <x v="2"/>
    <n v="89"/>
    <x v="0"/>
    <x v="2"/>
  </r>
  <r>
    <x v="663"/>
    <n v="37"/>
    <x v="1"/>
    <x v="1"/>
    <x v="4"/>
    <s v="Master"/>
    <s v="Single"/>
    <x v="662"/>
    <x v="11"/>
    <n v="1"/>
    <x v="1"/>
    <x v="0"/>
    <n v="67"/>
    <x v="1"/>
    <x v="3"/>
  </r>
  <r>
    <x v="664"/>
    <n v="43"/>
    <x v="1"/>
    <x v="3"/>
    <x v="2"/>
    <s v="MBA"/>
    <s v="Single"/>
    <x v="663"/>
    <x v="0"/>
    <n v="0"/>
    <x v="1"/>
    <x v="3"/>
    <n v="76"/>
    <x v="1"/>
    <x v="0"/>
  </r>
  <r>
    <x v="665"/>
    <n v="35"/>
    <x v="1"/>
    <x v="4"/>
    <x v="3"/>
    <s v="Bachelor"/>
    <s v="Single"/>
    <x v="664"/>
    <x v="19"/>
    <n v="6"/>
    <x v="1"/>
    <x v="1"/>
    <n v="7"/>
    <x v="0"/>
    <x v="3"/>
  </r>
  <r>
    <x v="666"/>
    <n v="57"/>
    <x v="1"/>
    <x v="1"/>
    <x v="1"/>
    <s v="Diploma"/>
    <s v="Married"/>
    <x v="665"/>
    <x v="17"/>
    <n v="4"/>
    <x v="1"/>
    <x v="3"/>
    <n v="32"/>
    <x v="1"/>
    <x v="0"/>
  </r>
  <r>
    <x v="667"/>
    <n v="41"/>
    <x v="0"/>
    <x v="4"/>
    <x v="2"/>
    <s v="Master"/>
    <s v="Single"/>
    <x v="666"/>
    <x v="12"/>
    <n v="0"/>
    <x v="0"/>
    <x v="2"/>
    <n v="33"/>
    <x v="1"/>
    <x v="0"/>
  </r>
  <r>
    <x v="668"/>
    <n v="34"/>
    <x v="1"/>
    <x v="4"/>
    <x v="0"/>
    <s v="Bachelor"/>
    <s v="Married"/>
    <x v="667"/>
    <x v="15"/>
    <n v="3"/>
    <x v="0"/>
    <x v="1"/>
    <n v="91"/>
    <x v="1"/>
    <x v="0"/>
  </r>
  <r>
    <x v="669"/>
    <n v="22"/>
    <x v="0"/>
    <x v="0"/>
    <x v="0"/>
    <s v="Master"/>
    <s v="Single"/>
    <x v="668"/>
    <x v="17"/>
    <n v="3"/>
    <x v="1"/>
    <x v="3"/>
    <n v="22"/>
    <x v="1"/>
    <x v="1"/>
  </r>
  <r>
    <x v="670"/>
    <n v="31"/>
    <x v="0"/>
    <x v="1"/>
    <x v="4"/>
    <s v="Master"/>
    <s v="Single"/>
    <x v="669"/>
    <x v="18"/>
    <n v="9"/>
    <x v="0"/>
    <x v="1"/>
    <n v="39"/>
    <x v="0"/>
    <x v="1"/>
  </r>
  <r>
    <x v="671"/>
    <n v="59"/>
    <x v="0"/>
    <x v="3"/>
    <x v="3"/>
    <s v="Master"/>
    <s v="Single"/>
    <x v="670"/>
    <x v="16"/>
    <n v="6"/>
    <x v="0"/>
    <x v="1"/>
    <n v="81"/>
    <x v="0"/>
    <x v="0"/>
  </r>
  <r>
    <x v="672"/>
    <n v="58"/>
    <x v="0"/>
    <x v="0"/>
    <x v="4"/>
    <s v="Bachelor"/>
    <s v="Married"/>
    <x v="671"/>
    <x v="19"/>
    <n v="8"/>
    <x v="0"/>
    <x v="1"/>
    <n v="80"/>
    <x v="0"/>
    <x v="2"/>
  </r>
  <r>
    <x v="673"/>
    <n v="54"/>
    <x v="1"/>
    <x v="4"/>
    <x v="4"/>
    <s v="MBA"/>
    <s v="Married"/>
    <x v="672"/>
    <x v="2"/>
    <n v="1"/>
    <x v="0"/>
    <x v="3"/>
    <n v="51"/>
    <x v="1"/>
    <x v="0"/>
  </r>
  <r>
    <x v="674"/>
    <n v="58"/>
    <x v="0"/>
    <x v="2"/>
    <x v="4"/>
    <s v="Bachelor"/>
    <s v="Married"/>
    <x v="673"/>
    <x v="16"/>
    <n v="0"/>
    <x v="0"/>
    <x v="2"/>
    <n v="9"/>
    <x v="0"/>
    <x v="4"/>
  </r>
  <r>
    <x v="675"/>
    <n v="54"/>
    <x v="1"/>
    <x v="4"/>
    <x v="0"/>
    <s v="Master"/>
    <s v="Single"/>
    <x v="674"/>
    <x v="7"/>
    <n v="1"/>
    <x v="1"/>
    <x v="3"/>
    <n v="79"/>
    <x v="0"/>
    <x v="0"/>
  </r>
  <r>
    <x v="676"/>
    <n v="38"/>
    <x v="0"/>
    <x v="4"/>
    <x v="0"/>
    <s v="Bachelor"/>
    <s v="Married"/>
    <x v="675"/>
    <x v="18"/>
    <n v="6"/>
    <x v="0"/>
    <x v="2"/>
    <n v="63"/>
    <x v="0"/>
    <x v="1"/>
  </r>
  <r>
    <x v="677"/>
    <n v="50"/>
    <x v="0"/>
    <x v="1"/>
    <x v="4"/>
    <s v="Diploma"/>
    <s v="Married"/>
    <x v="676"/>
    <x v="14"/>
    <n v="9"/>
    <x v="1"/>
    <x v="3"/>
    <n v="79"/>
    <x v="1"/>
    <x v="1"/>
  </r>
  <r>
    <x v="678"/>
    <n v="35"/>
    <x v="1"/>
    <x v="1"/>
    <x v="0"/>
    <s v="MBA"/>
    <s v="Single"/>
    <x v="677"/>
    <x v="5"/>
    <n v="5"/>
    <x v="1"/>
    <x v="3"/>
    <n v="63"/>
    <x v="0"/>
    <x v="4"/>
  </r>
  <r>
    <x v="679"/>
    <n v="47"/>
    <x v="1"/>
    <x v="0"/>
    <x v="3"/>
    <s v="Bachelor"/>
    <s v="Single"/>
    <x v="678"/>
    <x v="4"/>
    <n v="3"/>
    <x v="1"/>
    <x v="3"/>
    <n v="51"/>
    <x v="0"/>
    <x v="4"/>
  </r>
  <r>
    <x v="680"/>
    <n v="54"/>
    <x v="1"/>
    <x v="3"/>
    <x v="4"/>
    <s v="Diploma"/>
    <s v="Married"/>
    <x v="679"/>
    <x v="15"/>
    <n v="0"/>
    <x v="0"/>
    <x v="2"/>
    <n v="99"/>
    <x v="1"/>
    <x v="3"/>
  </r>
  <r>
    <x v="681"/>
    <n v="58"/>
    <x v="0"/>
    <x v="0"/>
    <x v="0"/>
    <s v="MBA"/>
    <s v="Married"/>
    <x v="680"/>
    <x v="7"/>
    <n v="0"/>
    <x v="1"/>
    <x v="3"/>
    <n v="99"/>
    <x v="1"/>
    <x v="2"/>
  </r>
  <r>
    <x v="682"/>
    <n v="53"/>
    <x v="0"/>
    <x v="5"/>
    <x v="2"/>
    <s v="Diploma"/>
    <s v="Married"/>
    <x v="681"/>
    <x v="19"/>
    <n v="4"/>
    <x v="1"/>
    <x v="1"/>
    <n v="17"/>
    <x v="1"/>
    <x v="2"/>
  </r>
  <r>
    <x v="683"/>
    <n v="44"/>
    <x v="1"/>
    <x v="4"/>
    <x v="4"/>
    <s v="MBA"/>
    <s v="Married"/>
    <x v="682"/>
    <x v="14"/>
    <n v="0"/>
    <x v="1"/>
    <x v="3"/>
    <n v="82"/>
    <x v="1"/>
    <x v="2"/>
  </r>
  <r>
    <x v="684"/>
    <n v="35"/>
    <x v="1"/>
    <x v="2"/>
    <x v="4"/>
    <s v="Bachelor"/>
    <s v="Single"/>
    <x v="683"/>
    <x v="16"/>
    <n v="6"/>
    <x v="1"/>
    <x v="1"/>
    <n v="93"/>
    <x v="1"/>
    <x v="1"/>
  </r>
  <r>
    <x v="685"/>
    <n v="50"/>
    <x v="1"/>
    <x v="4"/>
    <x v="3"/>
    <s v="Diploma"/>
    <s v="Single"/>
    <x v="684"/>
    <x v="8"/>
    <n v="0"/>
    <x v="0"/>
    <x v="0"/>
    <n v="37"/>
    <x v="1"/>
    <x v="2"/>
  </r>
  <r>
    <x v="686"/>
    <n v="37"/>
    <x v="1"/>
    <x v="4"/>
    <x v="1"/>
    <s v="Master"/>
    <s v="Single"/>
    <x v="685"/>
    <x v="13"/>
    <n v="0"/>
    <x v="1"/>
    <x v="0"/>
    <n v="66"/>
    <x v="0"/>
    <x v="3"/>
  </r>
  <r>
    <x v="687"/>
    <n v="25"/>
    <x v="0"/>
    <x v="0"/>
    <x v="1"/>
    <s v="Diploma"/>
    <s v="Married"/>
    <x v="686"/>
    <x v="9"/>
    <n v="1"/>
    <x v="1"/>
    <x v="2"/>
    <n v="83"/>
    <x v="0"/>
    <x v="3"/>
  </r>
  <r>
    <x v="688"/>
    <n v="49"/>
    <x v="1"/>
    <x v="2"/>
    <x v="3"/>
    <s v="MBA"/>
    <s v="Married"/>
    <x v="687"/>
    <x v="5"/>
    <n v="9"/>
    <x v="1"/>
    <x v="2"/>
    <n v="20"/>
    <x v="1"/>
    <x v="2"/>
  </r>
  <r>
    <x v="689"/>
    <n v="24"/>
    <x v="1"/>
    <x v="2"/>
    <x v="3"/>
    <s v="Bachelor"/>
    <s v="Single"/>
    <x v="688"/>
    <x v="14"/>
    <n v="2"/>
    <x v="1"/>
    <x v="0"/>
    <n v="48"/>
    <x v="1"/>
    <x v="4"/>
  </r>
  <r>
    <x v="690"/>
    <n v="30"/>
    <x v="1"/>
    <x v="2"/>
    <x v="3"/>
    <s v="MBA"/>
    <s v="Single"/>
    <x v="689"/>
    <x v="9"/>
    <n v="0"/>
    <x v="0"/>
    <x v="3"/>
    <n v="62"/>
    <x v="0"/>
    <x v="3"/>
  </r>
  <r>
    <x v="691"/>
    <n v="37"/>
    <x v="1"/>
    <x v="0"/>
    <x v="1"/>
    <s v="Diploma"/>
    <s v="Married"/>
    <x v="690"/>
    <x v="6"/>
    <n v="8"/>
    <x v="1"/>
    <x v="3"/>
    <n v="10"/>
    <x v="1"/>
    <x v="4"/>
  </r>
  <r>
    <x v="692"/>
    <n v="30"/>
    <x v="0"/>
    <x v="4"/>
    <x v="3"/>
    <s v="Diploma"/>
    <s v="Married"/>
    <x v="691"/>
    <x v="19"/>
    <n v="9"/>
    <x v="1"/>
    <x v="3"/>
    <n v="93"/>
    <x v="1"/>
    <x v="1"/>
  </r>
  <r>
    <x v="693"/>
    <n v="37"/>
    <x v="1"/>
    <x v="0"/>
    <x v="0"/>
    <s v="Master"/>
    <s v="Single"/>
    <x v="692"/>
    <x v="8"/>
    <n v="7"/>
    <x v="1"/>
    <x v="0"/>
    <n v="19"/>
    <x v="0"/>
    <x v="3"/>
  </r>
  <r>
    <x v="694"/>
    <n v="40"/>
    <x v="0"/>
    <x v="1"/>
    <x v="4"/>
    <s v="Bachelor"/>
    <s v="Single"/>
    <x v="693"/>
    <x v="14"/>
    <n v="4"/>
    <x v="1"/>
    <x v="1"/>
    <n v="8"/>
    <x v="1"/>
    <x v="4"/>
  </r>
  <r>
    <x v="695"/>
    <n v="44"/>
    <x v="1"/>
    <x v="1"/>
    <x v="4"/>
    <s v="Bachelor"/>
    <s v="Single"/>
    <x v="694"/>
    <x v="9"/>
    <n v="1"/>
    <x v="1"/>
    <x v="2"/>
    <n v="60"/>
    <x v="1"/>
    <x v="2"/>
  </r>
  <r>
    <x v="696"/>
    <n v="25"/>
    <x v="1"/>
    <x v="0"/>
    <x v="2"/>
    <s v="Diploma"/>
    <s v="Married"/>
    <x v="695"/>
    <x v="14"/>
    <n v="4"/>
    <x v="1"/>
    <x v="1"/>
    <n v="68"/>
    <x v="0"/>
    <x v="1"/>
  </r>
  <r>
    <x v="697"/>
    <n v="54"/>
    <x v="0"/>
    <x v="2"/>
    <x v="2"/>
    <s v="Bachelor"/>
    <s v="Married"/>
    <x v="696"/>
    <x v="9"/>
    <n v="5"/>
    <x v="0"/>
    <x v="0"/>
    <n v="72"/>
    <x v="0"/>
    <x v="0"/>
  </r>
  <r>
    <x v="698"/>
    <n v="26"/>
    <x v="1"/>
    <x v="4"/>
    <x v="4"/>
    <s v="Master"/>
    <s v="Married"/>
    <x v="697"/>
    <x v="7"/>
    <n v="0"/>
    <x v="1"/>
    <x v="1"/>
    <n v="98"/>
    <x v="0"/>
    <x v="0"/>
  </r>
  <r>
    <x v="699"/>
    <n v="22"/>
    <x v="0"/>
    <x v="0"/>
    <x v="0"/>
    <s v="MBA"/>
    <s v="Married"/>
    <x v="698"/>
    <x v="12"/>
    <n v="3"/>
    <x v="0"/>
    <x v="3"/>
    <n v="38"/>
    <x v="0"/>
    <x v="2"/>
  </r>
  <r>
    <x v="700"/>
    <n v="33"/>
    <x v="0"/>
    <x v="0"/>
    <x v="1"/>
    <s v="Bachelor"/>
    <s v="Married"/>
    <x v="699"/>
    <x v="2"/>
    <n v="8"/>
    <x v="0"/>
    <x v="3"/>
    <n v="95"/>
    <x v="0"/>
    <x v="1"/>
  </r>
  <r>
    <x v="701"/>
    <n v="31"/>
    <x v="1"/>
    <x v="0"/>
    <x v="1"/>
    <s v="Diploma"/>
    <s v="Married"/>
    <x v="700"/>
    <x v="13"/>
    <n v="1"/>
    <x v="1"/>
    <x v="1"/>
    <n v="99"/>
    <x v="1"/>
    <x v="1"/>
  </r>
  <r>
    <x v="702"/>
    <n v="43"/>
    <x v="0"/>
    <x v="5"/>
    <x v="0"/>
    <s v="MBA"/>
    <s v="Single"/>
    <x v="701"/>
    <x v="1"/>
    <n v="4"/>
    <x v="0"/>
    <x v="0"/>
    <n v="60"/>
    <x v="1"/>
    <x v="1"/>
  </r>
  <r>
    <x v="703"/>
    <n v="36"/>
    <x v="0"/>
    <x v="1"/>
    <x v="1"/>
    <s v="MBA"/>
    <s v="Single"/>
    <x v="702"/>
    <x v="9"/>
    <n v="0"/>
    <x v="1"/>
    <x v="1"/>
    <n v="36"/>
    <x v="1"/>
    <x v="1"/>
  </r>
  <r>
    <x v="704"/>
    <n v="51"/>
    <x v="0"/>
    <x v="2"/>
    <x v="3"/>
    <s v="Master"/>
    <s v="Married"/>
    <x v="703"/>
    <x v="6"/>
    <n v="3"/>
    <x v="0"/>
    <x v="3"/>
    <n v="13"/>
    <x v="1"/>
    <x v="0"/>
  </r>
  <r>
    <x v="705"/>
    <n v="31"/>
    <x v="0"/>
    <x v="3"/>
    <x v="4"/>
    <s v="Diploma"/>
    <s v="Single"/>
    <x v="704"/>
    <x v="9"/>
    <n v="3"/>
    <x v="1"/>
    <x v="3"/>
    <n v="67"/>
    <x v="1"/>
    <x v="4"/>
  </r>
  <r>
    <x v="706"/>
    <n v="36"/>
    <x v="0"/>
    <x v="2"/>
    <x v="4"/>
    <s v="Bachelor"/>
    <s v="Married"/>
    <x v="705"/>
    <x v="1"/>
    <n v="5"/>
    <x v="0"/>
    <x v="0"/>
    <n v="76"/>
    <x v="0"/>
    <x v="1"/>
  </r>
  <r>
    <x v="707"/>
    <n v="28"/>
    <x v="0"/>
    <x v="3"/>
    <x v="0"/>
    <s v="Diploma"/>
    <s v="Single"/>
    <x v="706"/>
    <x v="8"/>
    <n v="9"/>
    <x v="0"/>
    <x v="1"/>
    <n v="82"/>
    <x v="1"/>
    <x v="4"/>
  </r>
  <r>
    <x v="708"/>
    <n v="24"/>
    <x v="0"/>
    <x v="5"/>
    <x v="1"/>
    <s v="MBA"/>
    <s v="Married"/>
    <x v="707"/>
    <x v="3"/>
    <n v="8"/>
    <x v="1"/>
    <x v="3"/>
    <n v="37"/>
    <x v="1"/>
    <x v="1"/>
  </r>
  <r>
    <x v="709"/>
    <n v="24"/>
    <x v="0"/>
    <x v="0"/>
    <x v="2"/>
    <s v="Diploma"/>
    <s v="Single"/>
    <x v="708"/>
    <x v="2"/>
    <n v="2"/>
    <x v="0"/>
    <x v="3"/>
    <n v="91"/>
    <x v="1"/>
    <x v="3"/>
  </r>
  <r>
    <x v="710"/>
    <n v="45"/>
    <x v="1"/>
    <x v="5"/>
    <x v="2"/>
    <s v="Bachelor"/>
    <s v="Single"/>
    <x v="709"/>
    <x v="15"/>
    <n v="8"/>
    <x v="0"/>
    <x v="1"/>
    <n v="25"/>
    <x v="1"/>
    <x v="3"/>
  </r>
  <r>
    <x v="711"/>
    <n v="23"/>
    <x v="1"/>
    <x v="5"/>
    <x v="1"/>
    <s v="Bachelor"/>
    <s v="Married"/>
    <x v="710"/>
    <x v="14"/>
    <n v="5"/>
    <x v="0"/>
    <x v="1"/>
    <n v="59"/>
    <x v="1"/>
    <x v="3"/>
  </r>
  <r>
    <x v="712"/>
    <n v="52"/>
    <x v="0"/>
    <x v="4"/>
    <x v="2"/>
    <s v="Master"/>
    <s v="Married"/>
    <x v="711"/>
    <x v="6"/>
    <n v="6"/>
    <x v="0"/>
    <x v="2"/>
    <n v="80"/>
    <x v="0"/>
    <x v="1"/>
  </r>
  <r>
    <x v="713"/>
    <n v="23"/>
    <x v="1"/>
    <x v="1"/>
    <x v="0"/>
    <s v="Bachelor"/>
    <s v="Single"/>
    <x v="712"/>
    <x v="12"/>
    <n v="9"/>
    <x v="0"/>
    <x v="0"/>
    <n v="61"/>
    <x v="1"/>
    <x v="4"/>
  </r>
  <r>
    <x v="714"/>
    <n v="47"/>
    <x v="0"/>
    <x v="3"/>
    <x v="0"/>
    <s v="Bachelor"/>
    <s v="Single"/>
    <x v="713"/>
    <x v="6"/>
    <n v="1"/>
    <x v="1"/>
    <x v="0"/>
    <n v="6"/>
    <x v="1"/>
    <x v="0"/>
  </r>
  <r>
    <x v="715"/>
    <n v="49"/>
    <x v="0"/>
    <x v="0"/>
    <x v="1"/>
    <s v="Diploma"/>
    <s v="Married"/>
    <x v="714"/>
    <x v="17"/>
    <n v="9"/>
    <x v="0"/>
    <x v="1"/>
    <n v="17"/>
    <x v="1"/>
    <x v="2"/>
  </r>
  <r>
    <x v="716"/>
    <n v="52"/>
    <x v="1"/>
    <x v="3"/>
    <x v="2"/>
    <s v="Diploma"/>
    <s v="Single"/>
    <x v="715"/>
    <x v="6"/>
    <n v="5"/>
    <x v="0"/>
    <x v="0"/>
    <n v="8"/>
    <x v="1"/>
    <x v="0"/>
  </r>
  <r>
    <x v="717"/>
    <n v="39"/>
    <x v="0"/>
    <x v="2"/>
    <x v="0"/>
    <s v="MBA"/>
    <s v="Married"/>
    <x v="716"/>
    <x v="8"/>
    <n v="5"/>
    <x v="1"/>
    <x v="3"/>
    <n v="88"/>
    <x v="1"/>
    <x v="1"/>
  </r>
  <r>
    <x v="718"/>
    <n v="41"/>
    <x v="0"/>
    <x v="3"/>
    <x v="0"/>
    <s v="Master"/>
    <s v="Married"/>
    <x v="717"/>
    <x v="10"/>
    <n v="1"/>
    <x v="1"/>
    <x v="1"/>
    <n v="54"/>
    <x v="1"/>
    <x v="3"/>
  </r>
  <r>
    <x v="719"/>
    <n v="25"/>
    <x v="0"/>
    <x v="2"/>
    <x v="3"/>
    <s v="Diploma"/>
    <s v="Single"/>
    <x v="718"/>
    <x v="1"/>
    <n v="1"/>
    <x v="1"/>
    <x v="1"/>
    <n v="52"/>
    <x v="0"/>
    <x v="3"/>
  </r>
  <r>
    <x v="720"/>
    <n v="38"/>
    <x v="0"/>
    <x v="1"/>
    <x v="3"/>
    <s v="Bachelor"/>
    <s v="Married"/>
    <x v="719"/>
    <x v="19"/>
    <n v="1"/>
    <x v="0"/>
    <x v="1"/>
    <n v="82"/>
    <x v="1"/>
    <x v="4"/>
  </r>
  <r>
    <x v="721"/>
    <n v="48"/>
    <x v="1"/>
    <x v="2"/>
    <x v="0"/>
    <s v="MBA"/>
    <s v="Single"/>
    <x v="720"/>
    <x v="1"/>
    <n v="9"/>
    <x v="0"/>
    <x v="2"/>
    <n v="34"/>
    <x v="0"/>
    <x v="1"/>
  </r>
  <r>
    <x v="722"/>
    <n v="42"/>
    <x v="0"/>
    <x v="3"/>
    <x v="1"/>
    <s v="Diploma"/>
    <s v="Single"/>
    <x v="721"/>
    <x v="19"/>
    <n v="0"/>
    <x v="0"/>
    <x v="0"/>
    <n v="33"/>
    <x v="0"/>
    <x v="0"/>
  </r>
  <r>
    <x v="723"/>
    <n v="41"/>
    <x v="0"/>
    <x v="3"/>
    <x v="4"/>
    <s v="Master"/>
    <s v="Married"/>
    <x v="722"/>
    <x v="7"/>
    <n v="4"/>
    <x v="0"/>
    <x v="2"/>
    <n v="12"/>
    <x v="1"/>
    <x v="1"/>
  </r>
  <r>
    <x v="724"/>
    <n v="26"/>
    <x v="0"/>
    <x v="2"/>
    <x v="4"/>
    <s v="Master"/>
    <s v="Single"/>
    <x v="723"/>
    <x v="7"/>
    <n v="7"/>
    <x v="1"/>
    <x v="3"/>
    <n v="16"/>
    <x v="1"/>
    <x v="1"/>
  </r>
  <r>
    <x v="725"/>
    <n v="21"/>
    <x v="1"/>
    <x v="5"/>
    <x v="0"/>
    <s v="MBA"/>
    <s v="Married"/>
    <x v="724"/>
    <x v="3"/>
    <n v="1"/>
    <x v="1"/>
    <x v="0"/>
    <n v="45"/>
    <x v="1"/>
    <x v="3"/>
  </r>
  <r>
    <x v="726"/>
    <n v="25"/>
    <x v="0"/>
    <x v="1"/>
    <x v="0"/>
    <s v="MBA"/>
    <s v="Married"/>
    <x v="725"/>
    <x v="10"/>
    <n v="4"/>
    <x v="0"/>
    <x v="2"/>
    <n v="30"/>
    <x v="0"/>
    <x v="0"/>
  </r>
  <r>
    <x v="727"/>
    <n v="32"/>
    <x v="1"/>
    <x v="4"/>
    <x v="0"/>
    <s v="MBA"/>
    <s v="Married"/>
    <x v="726"/>
    <x v="2"/>
    <n v="7"/>
    <x v="0"/>
    <x v="1"/>
    <n v="54"/>
    <x v="1"/>
    <x v="2"/>
  </r>
  <r>
    <x v="728"/>
    <n v="46"/>
    <x v="1"/>
    <x v="0"/>
    <x v="1"/>
    <s v="MBA"/>
    <s v="Single"/>
    <x v="727"/>
    <x v="1"/>
    <n v="9"/>
    <x v="0"/>
    <x v="2"/>
    <n v="6"/>
    <x v="1"/>
    <x v="3"/>
  </r>
  <r>
    <x v="729"/>
    <n v="54"/>
    <x v="0"/>
    <x v="3"/>
    <x v="3"/>
    <s v="MBA"/>
    <s v="Married"/>
    <x v="728"/>
    <x v="3"/>
    <n v="4"/>
    <x v="0"/>
    <x v="1"/>
    <n v="59"/>
    <x v="1"/>
    <x v="0"/>
  </r>
  <r>
    <x v="730"/>
    <n v="34"/>
    <x v="0"/>
    <x v="0"/>
    <x v="0"/>
    <s v="Bachelor"/>
    <s v="Single"/>
    <x v="729"/>
    <x v="1"/>
    <n v="1"/>
    <x v="1"/>
    <x v="2"/>
    <n v="60"/>
    <x v="0"/>
    <x v="4"/>
  </r>
  <r>
    <x v="731"/>
    <n v="46"/>
    <x v="1"/>
    <x v="4"/>
    <x v="0"/>
    <s v="Bachelor"/>
    <s v="Married"/>
    <x v="730"/>
    <x v="17"/>
    <n v="2"/>
    <x v="1"/>
    <x v="2"/>
    <n v="18"/>
    <x v="0"/>
    <x v="3"/>
  </r>
  <r>
    <x v="732"/>
    <n v="47"/>
    <x v="0"/>
    <x v="0"/>
    <x v="2"/>
    <s v="Diploma"/>
    <s v="Married"/>
    <x v="731"/>
    <x v="0"/>
    <n v="5"/>
    <x v="0"/>
    <x v="2"/>
    <n v="10"/>
    <x v="1"/>
    <x v="4"/>
  </r>
  <r>
    <x v="733"/>
    <n v="29"/>
    <x v="1"/>
    <x v="4"/>
    <x v="1"/>
    <s v="Master"/>
    <s v="Married"/>
    <x v="732"/>
    <x v="16"/>
    <n v="4"/>
    <x v="1"/>
    <x v="1"/>
    <n v="99"/>
    <x v="0"/>
    <x v="3"/>
  </r>
  <r>
    <x v="734"/>
    <n v="46"/>
    <x v="1"/>
    <x v="2"/>
    <x v="0"/>
    <s v="Bachelor"/>
    <s v="Single"/>
    <x v="733"/>
    <x v="17"/>
    <n v="3"/>
    <x v="0"/>
    <x v="2"/>
    <n v="85"/>
    <x v="1"/>
    <x v="1"/>
  </r>
  <r>
    <x v="735"/>
    <n v="42"/>
    <x v="0"/>
    <x v="5"/>
    <x v="2"/>
    <s v="Bachelor"/>
    <s v="Single"/>
    <x v="734"/>
    <x v="0"/>
    <n v="3"/>
    <x v="0"/>
    <x v="0"/>
    <n v="93"/>
    <x v="0"/>
    <x v="0"/>
  </r>
  <r>
    <x v="736"/>
    <n v="50"/>
    <x v="0"/>
    <x v="3"/>
    <x v="4"/>
    <s v="Bachelor"/>
    <s v="Married"/>
    <x v="735"/>
    <x v="4"/>
    <n v="4"/>
    <x v="1"/>
    <x v="0"/>
    <n v="65"/>
    <x v="1"/>
    <x v="4"/>
  </r>
  <r>
    <x v="737"/>
    <n v="37"/>
    <x v="1"/>
    <x v="4"/>
    <x v="0"/>
    <s v="Diploma"/>
    <s v="Married"/>
    <x v="736"/>
    <x v="7"/>
    <n v="1"/>
    <x v="0"/>
    <x v="0"/>
    <n v="16"/>
    <x v="0"/>
    <x v="3"/>
  </r>
  <r>
    <x v="738"/>
    <n v="46"/>
    <x v="1"/>
    <x v="0"/>
    <x v="0"/>
    <s v="MBA"/>
    <s v="Single"/>
    <x v="737"/>
    <x v="0"/>
    <n v="8"/>
    <x v="1"/>
    <x v="1"/>
    <n v="17"/>
    <x v="1"/>
    <x v="4"/>
  </r>
  <r>
    <x v="739"/>
    <n v="56"/>
    <x v="1"/>
    <x v="3"/>
    <x v="2"/>
    <s v="Diploma"/>
    <s v="Single"/>
    <x v="738"/>
    <x v="12"/>
    <n v="1"/>
    <x v="0"/>
    <x v="1"/>
    <n v="23"/>
    <x v="1"/>
    <x v="3"/>
  </r>
  <r>
    <x v="740"/>
    <n v="21"/>
    <x v="1"/>
    <x v="5"/>
    <x v="1"/>
    <s v="Master"/>
    <s v="Single"/>
    <x v="739"/>
    <x v="7"/>
    <n v="9"/>
    <x v="1"/>
    <x v="0"/>
    <n v="48"/>
    <x v="0"/>
    <x v="3"/>
  </r>
  <r>
    <x v="741"/>
    <n v="28"/>
    <x v="0"/>
    <x v="2"/>
    <x v="0"/>
    <s v="Master"/>
    <s v="Married"/>
    <x v="740"/>
    <x v="13"/>
    <n v="1"/>
    <x v="0"/>
    <x v="0"/>
    <n v="93"/>
    <x v="0"/>
    <x v="2"/>
  </r>
  <r>
    <x v="742"/>
    <n v="55"/>
    <x v="0"/>
    <x v="3"/>
    <x v="4"/>
    <s v="Master"/>
    <s v="Single"/>
    <x v="741"/>
    <x v="14"/>
    <n v="9"/>
    <x v="1"/>
    <x v="0"/>
    <n v="99"/>
    <x v="0"/>
    <x v="2"/>
  </r>
  <r>
    <x v="743"/>
    <n v="35"/>
    <x v="0"/>
    <x v="4"/>
    <x v="0"/>
    <s v="Master"/>
    <s v="Married"/>
    <x v="742"/>
    <x v="12"/>
    <n v="8"/>
    <x v="0"/>
    <x v="3"/>
    <n v="63"/>
    <x v="0"/>
    <x v="2"/>
  </r>
  <r>
    <x v="744"/>
    <n v="42"/>
    <x v="0"/>
    <x v="5"/>
    <x v="4"/>
    <s v="Bachelor"/>
    <s v="Single"/>
    <x v="743"/>
    <x v="17"/>
    <n v="2"/>
    <x v="0"/>
    <x v="0"/>
    <n v="41"/>
    <x v="0"/>
    <x v="4"/>
  </r>
  <r>
    <x v="745"/>
    <n v="34"/>
    <x v="0"/>
    <x v="0"/>
    <x v="3"/>
    <s v="Bachelor"/>
    <s v="Married"/>
    <x v="744"/>
    <x v="0"/>
    <n v="9"/>
    <x v="1"/>
    <x v="2"/>
    <n v="29"/>
    <x v="1"/>
    <x v="1"/>
  </r>
  <r>
    <x v="746"/>
    <n v="46"/>
    <x v="1"/>
    <x v="5"/>
    <x v="3"/>
    <s v="Diploma"/>
    <s v="Married"/>
    <x v="745"/>
    <x v="4"/>
    <n v="6"/>
    <x v="0"/>
    <x v="3"/>
    <n v="20"/>
    <x v="1"/>
    <x v="3"/>
  </r>
  <r>
    <x v="747"/>
    <n v="48"/>
    <x v="0"/>
    <x v="5"/>
    <x v="4"/>
    <s v="MBA"/>
    <s v="Married"/>
    <x v="746"/>
    <x v="0"/>
    <n v="3"/>
    <x v="1"/>
    <x v="3"/>
    <n v="42"/>
    <x v="0"/>
    <x v="0"/>
  </r>
  <r>
    <x v="748"/>
    <n v="43"/>
    <x v="0"/>
    <x v="1"/>
    <x v="1"/>
    <s v="Master"/>
    <s v="Single"/>
    <x v="747"/>
    <x v="2"/>
    <n v="5"/>
    <x v="1"/>
    <x v="1"/>
    <n v="47"/>
    <x v="1"/>
    <x v="2"/>
  </r>
  <r>
    <x v="749"/>
    <n v="34"/>
    <x v="0"/>
    <x v="5"/>
    <x v="0"/>
    <s v="Diploma"/>
    <s v="Single"/>
    <x v="748"/>
    <x v="15"/>
    <n v="3"/>
    <x v="0"/>
    <x v="2"/>
    <n v="91"/>
    <x v="1"/>
    <x v="4"/>
  </r>
  <r>
    <x v="750"/>
    <n v="44"/>
    <x v="0"/>
    <x v="5"/>
    <x v="0"/>
    <s v="Bachelor"/>
    <s v="Single"/>
    <x v="749"/>
    <x v="11"/>
    <n v="9"/>
    <x v="0"/>
    <x v="1"/>
    <n v="18"/>
    <x v="0"/>
    <x v="4"/>
  </r>
  <r>
    <x v="751"/>
    <n v="22"/>
    <x v="0"/>
    <x v="3"/>
    <x v="3"/>
    <s v="Bachelor"/>
    <s v="Married"/>
    <x v="750"/>
    <x v="4"/>
    <n v="6"/>
    <x v="0"/>
    <x v="1"/>
    <n v="10"/>
    <x v="1"/>
    <x v="4"/>
  </r>
  <r>
    <x v="752"/>
    <n v="46"/>
    <x v="1"/>
    <x v="0"/>
    <x v="4"/>
    <s v="MBA"/>
    <s v="Married"/>
    <x v="751"/>
    <x v="9"/>
    <n v="0"/>
    <x v="0"/>
    <x v="2"/>
    <n v="93"/>
    <x v="1"/>
    <x v="0"/>
  </r>
  <r>
    <x v="753"/>
    <n v="34"/>
    <x v="1"/>
    <x v="3"/>
    <x v="0"/>
    <s v="MBA"/>
    <s v="Single"/>
    <x v="752"/>
    <x v="3"/>
    <n v="2"/>
    <x v="1"/>
    <x v="1"/>
    <n v="27"/>
    <x v="0"/>
    <x v="0"/>
  </r>
  <r>
    <x v="754"/>
    <n v="27"/>
    <x v="1"/>
    <x v="3"/>
    <x v="0"/>
    <s v="MBA"/>
    <s v="Married"/>
    <x v="753"/>
    <x v="2"/>
    <n v="2"/>
    <x v="0"/>
    <x v="2"/>
    <n v="64"/>
    <x v="0"/>
    <x v="2"/>
  </r>
  <r>
    <x v="755"/>
    <n v="23"/>
    <x v="0"/>
    <x v="4"/>
    <x v="1"/>
    <s v="Diploma"/>
    <s v="Married"/>
    <x v="754"/>
    <x v="14"/>
    <n v="0"/>
    <x v="0"/>
    <x v="2"/>
    <n v="16"/>
    <x v="1"/>
    <x v="0"/>
  </r>
  <r>
    <x v="756"/>
    <n v="43"/>
    <x v="1"/>
    <x v="3"/>
    <x v="2"/>
    <s v="Bachelor"/>
    <s v="Married"/>
    <x v="755"/>
    <x v="7"/>
    <n v="5"/>
    <x v="0"/>
    <x v="1"/>
    <n v="17"/>
    <x v="0"/>
    <x v="2"/>
  </r>
  <r>
    <x v="757"/>
    <n v="38"/>
    <x v="1"/>
    <x v="1"/>
    <x v="3"/>
    <s v="Bachelor"/>
    <s v="Single"/>
    <x v="756"/>
    <x v="10"/>
    <n v="8"/>
    <x v="1"/>
    <x v="0"/>
    <n v="10"/>
    <x v="1"/>
    <x v="0"/>
  </r>
  <r>
    <x v="758"/>
    <n v="58"/>
    <x v="0"/>
    <x v="1"/>
    <x v="3"/>
    <s v="MBA"/>
    <s v="Married"/>
    <x v="757"/>
    <x v="13"/>
    <n v="7"/>
    <x v="0"/>
    <x v="1"/>
    <n v="67"/>
    <x v="0"/>
    <x v="0"/>
  </r>
  <r>
    <x v="759"/>
    <n v="55"/>
    <x v="0"/>
    <x v="4"/>
    <x v="2"/>
    <s v="Master"/>
    <s v="Single"/>
    <x v="758"/>
    <x v="12"/>
    <n v="6"/>
    <x v="1"/>
    <x v="3"/>
    <n v="42"/>
    <x v="0"/>
    <x v="0"/>
  </r>
  <r>
    <x v="760"/>
    <n v="35"/>
    <x v="0"/>
    <x v="2"/>
    <x v="0"/>
    <s v="MBA"/>
    <s v="Single"/>
    <x v="759"/>
    <x v="13"/>
    <n v="9"/>
    <x v="0"/>
    <x v="1"/>
    <n v="54"/>
    <x v="0"/>
    <x v="2"/>
  </r>
  <r>
    <x v="761"/>
    <n v="45"/>
    <x v="1"/>
    <x v="0"/>
    <x v="1"/>
    <s v="Diploma"/>
    <s v="Single"/>
    <x v="760"/>
    <x v="8"/>
    <n v="7"/>
    <x v="1"/>
    <x v="2"/>
    <n v="56"/>
    <x v="0"/>
    <x v="3"/>
  </r>
  <r>
    <x v="762"/>
    <n v="57"/>
    <x v="1"/>
    <x v="0"/>
    <x v="1"/>
    <s v="MBA"/>
    <s v="Single"/>
    <x v="761"/>
    <x v="5"/>
    <n v="5"/>
    <x v="0"/>
    <x v="3"/>
    <n v="44"/>
    <x v="1"/>
    <x v="2"/>
  </r>
  <r>
    <x v="763"/>
    <n v="48"/>
    <x v="0"/>
    <x v="3"/>
    <x v="3"/>
    <s v="MBA"/>
    <s v="Single"/>
    <x v="762"/>
    <x v="16"/>
    <n v="8"/>
    <x v="0"/>
    <x v="2"/>
    <n v="12"/>
    <x v="0"/>
    <x v="3"/>
  </r>
  <r>
    <x v="764"/>
    <n v="30"/>
    <x v="0"/>
    <x v="3"/>
    <x v="1"/>
    <s v="Diploma"/>
    <s v="Married"/>
    <x v="763"/>
    <x v="10"/>
    <n v="2"/>
    <x v="1"/>
    <x v="0"/>
    <n v="65"/>
    <x v="0"/>
    <x v="4"/>
  </r>
  <r>
    <x v="765"/>
    <n v="59"/>
    <x v="1"/>
    <x v="2"/>
    <x v="2"/>
    <s v="MBA"/>
    <s v="Single"/>
    <x v="764"/>
    <x v="16"/>
    <n v="9"/>
    <x v="0"/>
    <x v="0"/>
    <n v="12"/>
    <x v="1"/>
    <x v="4"/>
  </r>
  <r>
    <x v="766"/>
    <n v="37"/>
    <x v="1"/>
    <x v="3"/>
    <x v="0"/>
    <s v="Bachelor"/>
    <s v="Single"/>
    <x v="765"/>
    <x v="9"/>
    <n v="9"/>
    <x v="0"/>
    <x v="3"/>
    <n v="38"/>
    <x v="1"/>
    <x v="2"/>
  </r>
  <r>
    <x v="767"/>
    <n v="59"/>
    <x v="0"/>
    <x v="0"/>
    <x v="2"/>
    <s v="Master"/>
    <s v="Single"/>
    <x v="766"/>
    <x v="16"/>
    <n v="8"/>
    <x v="0"/>
    <x v="0"/>
    <n v="83"/>
    <x v="1"/>
    <x v="3"/>
  </r>
  <r>
    <x v="768"/>
    <n v="42"/>
    <x v="0"/>
    <x v="5"/>
    <x v="4"/>
    <s v="MBA"/>
    <s v="Married"/>
    <x v="767"/>
    <x v="11"/>
    <n v="3"/>
    <x v="1"/>
    <x v="0"/>
    <n v="64"/>
    <x v="1"/>
    <x v="3"/>
  </r>
  <r>
    <x v="769"/>
    <n v="46"/>
    <x v="1"/>
    <x v="1"/>
    <x v="3"/>
    <s v="Diploma"/>
    <s v="Married"/>
    <x v="768"/>
    <x v="0"/>
    <n v="6"/>
    <x v="0"/>
    <x v="1"/>
    <n v="61"/>
    <x v="0"/>
    <x v="3"/>
  </r>
  <r>
    <x v="770"/>
    <n v="45"/>
    <x v="0"/>
    <x v="5"/>
    <x v="1"/>
    <s v="Master"/>
    <s v="Married"/>
    <x v="769"/>
    <x v="11"/>
    <n v="8"/>
    <x v="1"/>
    <x v="1"/>
    <n v="50"/>
    <x v="1"/>
    <x v="4"/>
  </r>
  <r>
    <x v="771"/>
    <n v="37"/>
    <x v="1"/>
    <x v="5"/>
    <x v="4"/>
    <s v="Diploma"/>
    <s v="Married"/>
    <x v="770"/>
    <x v="12"/>
    <n v="1"/>
    <x v="1"/>
    <x v="0"/>
    <n v="26"/>
    <x v="0"/>
    <x v="2"/>
  </r>
  <r>
    <x v="772"/>
    <n v="33"/>
    <x v="1"/>
    <x v="0"/>
    <x v="1"/>
    <s v="Master"/>
    <s v="Single"/>
    <x v="771"/>
    <x v="0"/>
    <n v="1"/>
    <x v="1"/>
    <x v="0"/>
    <n v="91"/>
    <x v="1"/>
    <x v="1"/>
  </r>
  <r>
    <x v="773"/>
    <n v="40"/>
    <x v="1"/>
    <x v="5"/>
    <x v="0"/>
    <s v="Master"/>
    <s v="Single"/>
    <x v="772"/>
    <x v="3"/>
    <n v="8"/>
    <x v="0"/>
    <x v="1"/>
    <n v="44"/>
    <x v="0"/>
    <x v="3"/>
  </r>
  <r>
    <x v="774"/>
    <n v="45"/>
    <x v="1"/>
    <x v="2"/>
    <x v="0"/>
    <s v="MBA"/>
    <s v="Married"/>
    <x v="773"/>
    <x v="17"/>
    <n v="2"/>
    <x v="1"/>
    <x v="0"/>
    <n v="49"/>
    <x v="1"/>
    <x v="3"/>
  </r>
  <r>
    <x v="775"/>
    <n v="24"/>
    <x v="0"/>
    <x v="4"/>
    <x v="0"/>
    <s v="Bachelor"/>
    <s v="Married"/>
    <x v="774"/>
    <x v="9"/>
    <n v="8"/>
    <x v="1"/>
    <x v="0"/>
    <n v="59"/>
    <x v="0"/>
    <x v="1"/>
  </r>
  <r>
    <x v="776"/>
    <n v="30"/>
    <x v="0"/>
    <x v="3"/>
    <x v="1"/>
    <s v="MBA"/>
    <s v="Married"/>
    <x v="775"/>
    <x v="11"/>
    <n v="4"/>
    <x v="0"/>
    <x v="2"/>
    <n v="55"/>
    <x v="0"/>
    <x v="2"/>
  </r>
  <r>
    <x v="777"/>
    <n v="23"/>
    <x v="1"/>
    <x v="4"/>
    <x v="4"/>
    <s v="Diploma"/>
    <s v="Married"/>
    <x v="776"/>
    <x v="7"/>
    <n v="5"/>
    <x v="1"/>
    <x v="0"/>
    <n v="90"/>
    <x v="1"/>
    <x v="3"/>
  </r>
  <r>
    <x v="778"/>
    <n v="38"/>
    <x v="1"/>
    <x v="1"/>
    <x v="0"/>
    <s v="Diploma"/>
    <s v="Single"/>
    <x v="777"/>
    <x v="2"/>
    <n v="1"/>
    <x v="1"/>
    <x v="3"/>
    <n v="9"/>
    <x v="0"/>
    <x v="2"/>
  </r>
  <r>
    <x v="779"/>
    <n v="56"/>
    <x v="1"/>
    <x v="3"/>
    <x v="4"/>
    <s v="Master"/>
    <s v="Married"/>
    <x v="778"/>
    <x v="13"/>
    <n v="7"/>
    <x v="0"/>
    <x v="2"/>
    <n v="99"/>
    <x v="0"/>
    <x v="3"/>
  </r>
  <r>
    <x v="780"/>
    <n v="42"/>
    <x v="1"/>
    <x v="5"/>
    <x v="1"/>
    <s v="Master"/>
    <s v="Married"/>
    <x v="779"/>
    <x v="5"/>
    <n v="8"/>
    <x v="0"/>
    <x v="3"/>
    <n v="17"/>
    <x v="0"/>
    <x v="0"/>
  </r>
  <r>
    <x v="781"/>
    <n v="54"/>
    <x v="1"/>
    <x v="1"/>
    <x v="4"/>
    <s v="Bachelor"/>
    <s v="Married"/>
    <x v="780"/>
    <x v="15"/>
    <n v="1"/>
    <x v="1"/>
    <x v="0"/>
    <n v="32"/>
    <x v="0"/>
    <x v="3"/>
  </r>
  <r>
    <x v="782"/>
    <n v="28"/>
    <x v="0"/>
    <x v="3"/>
    <x v="1"/>
    <s v="MBA"/>
    <s v="Married"/>
    <x v="781"/>
    <x v="6"/>
    <n v="5"/>
    <x v="0"/>
    <x v="1"/>
    <n v="88"/>
    <x v="1"/>
    <x v="0"/>
  </r>
  <r>
    <x v="783"/>
    <n v="39"/>
    <x v="0"/>
    <x v="2"/>
    <x v="1"/>
    <s v="Diploma"/>
    <s v="Married"/>
    <x v="782"/>
    <x v="11"/>
    <n v="5"/>
    <x v="0"/>
    <x v="2"/>
    <n v="84"/>
    <x v="0"/>
    <x v="2"/>
  </r>
  <r>
    <x v="784"/>
    <n v="57"/>
    <x v="0"/>
    <x v="2"/>
    <x v="3"/>
    <s v="Master"/>
    <s v="Married"/>
    <x v="783"/>
    <x v="19"/>
    <n v="7"/>
    <x v="0"/>
    <x v="1"/>
    <n v="66"/>
    <x v="0"/>
    <x v="3"/>
  </r>
  <r>
    <x v="785"/>
    <n v="26"/>
    <x v="0"/>
    <x v="2"/>
    <x v="1"/>
    <s v="Bachelor"/>
    <s v="Married"/>
    <x v="784"/>
    <x v="18"/>
    <n v="9"/>
    <x v="1"/>
    <x v="2"/>
    <n v="97"/>
    <x v="1"/>
    <x v="4"/>
  </r>
  <r>
    <x v="786"/>
    <n v="46"/>
    <x v="1"/>
    <x v="2"/>
    <x v="1"/>
    <s v="Diploma"/>
    <s v="Single"/>
    <x v="785"/>
    <x v="6"/>
    <n v="4"/>
    <x v="1"/>
    <x v="1"/>
    <n v="91"/>
    <x v="1"/>
    <x v="4"/>
  </r>
  <r>
    <x v="787"/>
    <n v="54"/>
    <x v="1"/>
    <x v="5"/>
    <x v="2"/>
    <s v="Master"/>
    <s v="Single"/>
    <x v="786"/>
    <x v="1"/>
    <n v="8"/>
    <x v="0"/>
    <x v="2"/>
    <n v="28"/>
    <x v="1"/>
    <x v="1"/>
  </r>
  <r>
    <x v="788"/>
    <n v="26"/>
    <x v="1"/>
    <x v="4"/>
    <x v="0"/>
    <s v="Diploma"/>
    <s v="Single"/>
    <x v="787"/>
    <x v="7"/>
    <n v="0"/>
    <x v="1"/>
    <x v="2"/>
    <n v="11"/>
    <x v="0"/>
    <x v="4"/>
  </r>
  <r>
    <x v="789"/>
    <n v="57"/>
    <x v="1"/>
    <x v="3"/>
    <x v="3"/>
    <s v="Bachelor"/>
    <s v="Single"/>
    <x v="788"/>
    <x v="15"/>
    <n v="8"/>
    <x v="0"/>
    <x v="3"/>
    <n v="42"/>
    <x v="0"/>
    <x v="0"/>
  </r>
  <r>
    <x v="790"/>
    <n v="53"/>
    <x v="1"/>
    <x v="5"/>
    <x v="3"/>
    <s v="Bachelor"/>
    <s v="Single"/>
    <x v="789"/>
    <x v="10"/>
    <n v="9"/>
    <x v="0"/>
    <x v="1"/>
    <n v="41"/>
    <x v="1"/>
    <x v="4"/>
  </r>
  <r>
    <x v="791"/>
    <n v="42"/>
    <x v="0"/>
    <x v="2"/>
    <x v="3"/>
    <s v="Diploma"/>
    <s v="Single"/>
    <x v="790"/>
    <x v="13"/>
    <n v="6"/>
    <x v="0"/>
    <x v="3"/>
    <n v="72"/>
    <x v="0"/>
    <x v="4"/>
  </r>
  <r>
    <x v="792"/>
    <n v="41"/>
    <x v="1"/>
    <x v="4"/>
    <x v="2"/>
    <s v="MBA"/>
    <s v="Married"/>
    <x v="791"/>
    <x v="16"/>
    <n v="3"/>
    <x v="0"/>
    <x v="3"/>
    <n v="46"/>
    <x v="1"/>
    <x v="4"/>
  </r>
  <r>
    <x v="793"/>
    <n v="26"/>
    <x v="0"/>
    <x v="1"/>
    <x v="1"/>
    <s v="Diploma"/>
    <s v="Married"/>
    <x v="792"/>
    <x v="6"/>
    <n v="2"/>
    <x v="0"/>
    <x v="1"/>
    <n v="90"/>
    <x v="0"/>
    <x v="3"/>
  </r>
  <r>
    <x v="794"/>
    <n v="26"/>
    <x v="0"/>
    <x v="1"/>
    <x v="0"/>
    <s v="Master"/>
    <s v="Single"/>
    <x v="793"/>
    <x v="10"/>
    <n v="9"/>
    <x v="1"/>
    <x v="2"/>
    <n v="9"/>
    <x v="1"/>
    <x v="1"/>
  </r>
  <r>
    <x v="795"/>
    <n v="24"/>
    <x v="0"/>
    <x v="1"/>
    <x v="4"/>
    <s v="MBA"/>
    <s v="Married"/>
    <x v="794"/>
    <x v="3"/>
    <n v="5"/>
    <x v="1"/>
    <x v="3"/>
    <n v="68"/>
    <x v="0"/>
    <x v="2"/>
  </r>
  <r>
    <x v="796"/>
    <n v="50"/>
    <x v="0"/>
    <x v="2"/>
    <x v="1"/>
    <s v="Master"/>
    <s v="Single"/>
    <x v="795"/>
    <x v="3"/>
    <n v="0"/>
    <x v="1"/>
    <x v="1"/>
    <n v="54"/>
    <x v="1"/>
    <x v="1"/>
  </r>
  <r>
    <x v="797"/>
    <n v="31"/>
    <x v="1"/>
    <x v="1"/>
    <x v="2"/>
    <s v="Diploma"/>
    <s v="Married"/>
    <x v="796"/>
    <x v="11"/>
    <n v="2"/>
    <x v="1"/>
    <x v="2"/>
    <n v="91"/>
    <x v="0"/>
    <x v="0"/>
  </r>
  <r>
    <x v="798"/>
    <n v="50"/>
    <x v="0"/>
    <x v="0"/>
    <x v="1"/>
    <s v="MBA"/>
    <s v="Married"/>
    <x v="797"/>
    <x v="18"/>
    <n v="1"/>
    <x v="0"/>
    <x v="3"/>
    <n v="19"/>
    <x v="1"/>
    <x v="3"/>
  </r>
  <r>
    <x v="799"/>
    <n v="51"/>
    <x v="0"/>
    <x v="3"/>
    <x v="1"/>
    <s v="Master"/>
    <s v="Married"/>
    <x v="798"/>
    <x v="19"/>
    <n v="8"/>
    <x v="0"/>
    <x v="3"/>
    <n v="99"/>
    <x v="0"/>
    <x v="3"/>
  </r>
  <r>
    <x v="800"/>
    <n v="44"/>
    <x v="0"/>
    <x v="3"/>
    <x v="2"/>
    <s v="Diploma"/>
    <s v="Married"/>
    <x v="799"/>
    <x v="4"/>
    <n v="2"/>
    <x v="1"/>
    <x v="3"/>
    <n v="77"/>
    <x v="0"/>
    <x v="4"/>
  </r>
  <r>
    <x v="801"/>
    <n v="29"/>
    <x v="1"/>
    <x v="2"/>
    <x v="3"/>
    <s v="Diploma"/>
    <s v="Married"/>
    <x v="800"/>
    <x v="11"/>
    <n v="1"/>
    <x v="1"/>
    <x v="2"/>
    <n v="57"/>
    <x v="0"/>
    <x v="4"/>
  </r>
  <r>
    <x v="802"/>
    <n v="23"/>
    <x v="1"/>
    <x v="0"/>
    <x v="3"/>
    <s v="MBA"/>
    <s v="Married"/>
    <x v="801"/>
    <x v="3"/>
    <n v="3"/>
    <x v="0"/>
    <x v="3"/>
    <n v="29"/>
    <x v="1"/>
    <x v="0"/>
  </r>
  <r>
    <x v="803"/>
    <n v="51"/>
    <x v="1"/>
    <x v="5"/>
    <x v="0"/>
    <s v="Diploma"/>
    <s v="Single"/>
    <x v="802"/>
    <x v="8"/>
    <n v="1"/>
    <x v="0"/>
    <x v="2"/>
    <n v="93"/>
    <x v="0"/>
    <x v="3"/>
  </r>
  <r>
    <x v="804"/>
    <n v="57"/>
    <x v="0"/>
    <x v="5"/>
    <x v="0"/>
    <s v="Bachelor"/>
    <s v="Single"/>
    <x v="803"/>
    <x v="12"/>
    <n v="0"/>
    <x v="0"/>
    <x v="0"/>
    <n v="89"/>
    <x v="0"/>
    <x v="2"/>
  </r>
  <r>
    <x v="805"/>
    <n v="56"/>
    <x v="0"/>
    <x v="1"/>
    <x v="3"/>
    <s v="Master"/>
    <s v="Married"/>
    <x v="804"/>
    <x v="13"/>
    <n v="5"/>
    <x v="1"/>
    <x v="3"/>
    <n v="13"/>
    <x v="0"/>
    <x v="1"/>
  </r>
  <r>
    <x v="806"/>
    <n v="44"/>
    <x v="1"/>
    <x v="4"/>
    <x v="4"/>
    <s v="Master"/>
    <s v="Single"/>
    <x v="805"/>
    <x v="19"/>
    <n v="9"/>
    <x v="0"/>
    <x v="0"/>
    <n v="42"/>
    <x v="1"/>
    <x v="3"/>
  </r>
  <r>
    <x v="807"/>
    <n v="51"/>
    <x v="0"/>
    <x v="5"/>
    <x v="1"/>
    <s v="Diploma"/>
    <s v="Married"/>
    <x v="806"/>
    <x v="3"/>
    <n v="7"/>
    <x v="0"/>
    <x v="1"/>
    <n v="26"/>
    <x v="0"/>
    <x v="2"/>
  </r>
  <r>
    <x v="808"/>
    <n v="26"/>
    <x v="1"/>
    <x v="4"/>
    <x v="4"/>
    <s v="Diploma"/>
    <s v="Single"/>
    <x v="807"/>
    <x v="12"/>
    <n v="9"/>
    <x v="1"/>
    <x v="3"/>
    <n v="91"/>
    <x v="1"/>
    <x v="2"/>
  </r>
  <r>
    <x v="809"/>
    <n v="22"/>
    <x v="1"/>
    <x v="3"/>
    <x v="1"/>
    <s v="Bachelor"/>
    <s v="Married"/>
    <x v="808"/>
    <x v="17"/>
    <n v="9"/>
    <x v="1"/>
    <x v="1"/>
    <n v="53"/>
    <x v="0"/>
    <x v="1"/>
  </r>
  <r>
    <x v="810"/>
    <n v="40"/>
    <x v="0"/>
    <x v="4"/>
    <x v="3"/>
    <s v="MBA"/>
    <s v="Single"/>
    <x v="809"/>
    <x v="9"/>
    <n v="1"/>
    <x v="1"/>
    <x v="1"/>
    <n v="72"/>
    <x v="1"/>
    <x v="2"/>
  </r>
  <r>
    <x v="811"/>
    <n v="48"/>
    <x v="0"/>
    <x v="3"/>
    <x v="0"/>
    <s v="Diploma"/>
    <s v="Married"/>
    <x v="810"/>
    <x v="16"/>
    <n v="8"/>
    <x v="0"/>
    <x v="1"/>
    <n v="97"/>
    <x v="1"/>
    <x v="0"/>
  </r>
  <r>
    <x v="812"/>
    <n v="31"/>
    <x v="0"/>
    <x v="0"/>
    <x v="0"/>
    <s v="Diploma"/>
    <s v="Single"/>
    <x v="811"/>
    <x v="16"/>
    <n v="2"/>
    <x v="0"/>
    <x v="0"/>
    <n v="19"/>
    <x v="0"/>
    <x v="2"/>
  </r>
  <r>
    <x v="813"/>
    <n v="24"/>
    <x v="0"/>
    <x v="0"/>
    <x v="4"/>
    <s v="Diploma"/>
    <s v="Married"/>
    <x v="812"/>
    <x v="0"/>
    <n v="7"/>
    <x v="1"/>
    <x v="2"/>
    <n v="69"/>
    <x v="1"/>
    <x v="0"/>
  </r>
  <r>
    <x v="814"/>
    <n v="35"/>
    <x v="1"/>
    <x v="2"/>
    <x v="0"/>
    <s v="Diploma"/>
    <s v="Single"/>
    <x v="813"/>
    <x v="9"/>
    <n v="7"/>
    <x v="0"/>
    <x v="0"/>
    <n v="58"/>
    <x v="1"/>
    <x v="2"/>
  </r>
  <r>
    <x v="815"/>
    <n v="26"/>
    <x v="1"/>
    <x v="2"/>
    <x v="3"/>
    <s v="Master"/>
    <s v="Married"/>
    <x v="814"/>
    <x v="14"/>
    <n v="2"/>
    <x v="0"/>
    <x v="0"/>
    <n v="34"/>
    <x v="0"/>
    <x v="4"/>
  </r>
  <r>
    <x v="816"/>
    <n v="50"/>
    <x v="1"/>
    <x v="1"/>
    <x v="4"/>
    <s v="Diploma"/>
    <s v="Married"/>
    <x v="815"/>
    <x v="11"/>
    <n v="2"/>
    <x v="0"/>
    <x v="1"/>
    <n v="97"/>
    <x v="1"/>
    <x v="2"/>
  </r>
  <r>
    <x v="817"/>
    <n v="58"/>
    <x v="1"/>
    <x v="5"/>
    <x v="1"/>
    <s v="Master"/>
    <s v="Married"/>
    <x v="816"/>
    <x v="4"/>
    <n v="5"/>
    <x v="1"/>
    <x v="3"/>
    <n v="24"/>
    <x v="1"/>
    <x v="0"/>
  </r>
  <r>
    <x v="818"/>
    <n v="22"/>
    <x v="1"/>
    <x v="1"/>
    <x v="0"/>
    <s v="Diploma"/>
    <s v="Single"/>
    <x v="817"/>
    <x v="3"/>
    <n v="0"/>
    <x v="1"/>
    <x v="2"/>
    <n v="37"/>
    <x v="1"/>
    <x v="2"/>
  </r>
  <r>
    <x v="819"/>
    <n v="35"/>
    <x v="0"/>
    <x v="3"/>
    <x v="2"/>
    <s v="MBA"/>
    <s v="Single"/>
    <x v="818"/>
    <x v="1"/>
    <n v="3"/>
    <x v="0"/>
    <x v="1"/>
    <n v="90"/>
    <x v="1"/>
    <x v="2"/>
  </r>
  <r>
    <x v="820"/>
    <n v="31"/>
    <x v="1"/>
    <x v="1"/>
    <x v="0"/>
    <s v="Bachelor"/>
    <s v="Single"/>
    <x v="819"/>
    <x v="11"/>
    <n v="0"/>
    <x v="0"/>
    <x v="2"/>
    <n v="81"/>
    <x v="0"/>
    <x v="2"/>
  </r>
  <r>
    <x v="821"/>
    <n v="28"/>
    <x v="1"/>
    <x v="4"/>
    <x v="1"/>
    <s v="MBA"/>
    <s v="Married"/>
    <x v="820"/>
    <x v="7"/>
    <n v="2"/>
    <x v="0"/>
    <x v="0"/>
    <n v="11"/>
    <x v="1"/>
    <x v="0"/>
  </r>
  <r>
    <x v="822"/>
    <n v="46"/>
    <x v="1"/>
    <x v="3"/>
    <x v="4"/>
    <s v="Diploma"/>
    <s v="Single"/>
    <x v="821"/>
    <x v="13"/>
    <n v="8"/>
    <x v="0"/>
    <x v="2"/>
    <n v="12"/>
    <x v="1"/>
    <x v="2"/>
  </r>
  <r>
    <x v="823"/>
    <n v="25"/>
    <x v="0"/>
    <x v="2"/>
    <x v="1"/>
    <s v="Diploma"/>
    <s v="Married"/>
    <x v="822"/>
    <x v="0"/>
    <n v="4"/>
    <x v="1"/>
    <x v="2"/>
    <n v="32"/>
    <x v="0"/>
    <x v="1"/>
  </r>
  <r>
    <x v="824"/>
    <n v="26"/>
    <x v="0"/>
    <x v="0"/>
    <x v="2"/>
    <s v="Diploma"/>
    <s v="Single"/>
    <x v="823"/>
    <x v="1"/>
    <n v="4"/>
    <x v="1"/>
    <x v="3"/>
    <n v="49"/>
    <x v="0"/>
    <x v="1"/>
  </r>
  <r>
    <x v="825"/>
    <n v="46"/>
    <x v="0"/>
    <x v="2"/>
    <x v="3"/>
    <s v="MBA"/>
    <s v="Single"/>
    <x v="824"/>
    <x v="12"/>
    <n v="3"/>
    <x v="0"/>
    <x v="1"/>
    <n v="77"/>
    <x v="1"/>
    <x v="0"/>
  </r>
  <r>
    <x v="826"/>
    <n v="24"/>
    <x v="0"/>
    <x v="5"/>
    <x v="0"/>
    <s v="Diploma"/>
    <s v="Single"/>
    <x v="825"/>
    <x v="0"/>
    <n v="2"/>
    <x v="0"/>
    <x v="2"/>
    <n v="93"/>
    <x v="0"/>
    <x v="4"/>
  </r>
  <r>
    <x v="827"/>
    <n v="39"/>
    <x v="1"/>
    <x v="3"/>
    <x v="4"/>
    <s v="MBA"/>
    <s v="Single"/>
    <x v="826"/>
    <x v="15"/>
    <n v="4"/>
    <x v="1"/>
    <x v="2"/>
    <n v="84"/>
    <x v="0"/>
    <x v="1"/>
  </r>
  <r>
    <x v="828"/>
    <n v="40"/>
    <x v="1"/>
    <x v="3"/>
    <x v="3"/>
    <s v="Master"/>
    <s v="Married"/>
    <x v="827"/>
    <x v="18"/>
    <n v="3"/>
    <x v="0"/>
    <x v="0"/>
    <n v="78"/>
    <x v="0"/>
    <x v="3"/>
  </r>
  <r>
    <x v="829"/>
    <n v="53"/>
    <x v="0"/>
    <x v="4"/>
    <x v="1"/>
    <s v="Bachelor"/>
    <s v="Single"/>
    <x v="828"/>
    <x v="10"/>
    <n v="7"/>
    <x v="1"/>
    <x v="0"/>
    <n v="15"/>
    <x v="0"/>
    <x v="1"/>
  </r>
  <r>
    <x v="830"/>
    <n v="40"/>
    <x v="0"/>
    <x v="5"/>
    <x v="4"/>
    <s v="Bachelor"/>
    <s v="Single"/>
    <x v="829"/>
    <x v="17"/>
    <n v="3"/>
    <x v="0"/>
    <x v="2"/>
    <n v="35"/>
    <x v="0"/>
    <x v="3"/>
  </r>
  <r>
    <x v="831"/>
    <n v="32"/>
    <x v="1"/>
    <x v="0"/>
    <x v="3"/>
    <s v="MBA"/>
    <s v="Married"/>
    <x v="830"/>
    <x v="14"/>
    <n v="7"/>
    <x v="1"/>
    <x v="1"/>
    <n v="16"/>
    <x v="0"/>
    <x v="0"/>
  </r>
  <r>
    <x v="832"/>
    <n v="21"/>
    <x v="1"/>
    <x v="3"/>
    <x v="4"/>
    <s v="Master"/>
    <s v="Married"/>
    <x v="831"/>
    <x v="5"/>
    <n v="5"/>
    <x v="0"/>
    <x v="2"/>
    <n v="99"/>
    <x v="0"/>
    <x v="4"/>
  </r>
  <r>
    <x v="833"/>
    <n v="46"/>
    <x v="0"/>
    <x v="3"/>
    <x v="2"/>
    <s v="MBA"/>
    <s v="Single"/>
    <x v="832"/>
    <x v="11"/>
    <n v="4"/>
    <x v="0"/>
    <x v="2"/>
    <n v="82"/>
    <x v="0"/>
    <x v="3"/>
  </r>
  <r>
    <x v="834"/>
    <n v="34"/>
    <x v="0"/>
    <x v="4"/>
    <x v="2"/>
    <s v="Master"/>
    <s v="Single"/>
    <x v="833"/>
    <x v="15"/>
    <n v="3"/>
    <x v="1"/>
    <x v="3"/>
    <n v="55"/>
    <x v="0"/>
    <x v="3"/>
  </r>
  <r>
    <x v="835"/>
    <n v="58"/>
    <x v="0"/>
    <x v="1"/>
    <x v="0"/>
    <s v="Diploma"/>
    <s v="Married"/>
    <x v="834"/>
    <x v="2"/>
    <n v="3"/>
    <x v="1"/>
    <x v="1"/>
    <n v="48"/>
    <x v="1"/>
    <x v="1"/>
  </r>
  <r>
    <x v="836"/>
    <n v="57"/>
    <x v="0"/>
    <x v="0"/>
    <x v="0"/>
    <s v="Master"/>
    <s v="Married"/>
    <x v="835"/>
    <x v="15"/>
    <n v="3"/>
    <x v="0"/>
    <x v="3"/>
    <n v="54"/>
    <x v="1"/>
    <x v="3"/>
  </r>
  <r>
    <x v="837"/>
    <n v="31"/>
    <x v="1"/>
    <x v="2"/>
    <x v="2"/>
    <s v="Master"/>
    <s v="Married"/>
    <x v="836"/>
    <x v="16"/>
    <n v="8"/>
    <x v="0"/>
    <x v="1"/>
    <n v="21"/>
    <x v="1"/>
    <x v="0"/>
  </r>
  <r>
    <x v="838"/>
    <n v="56"/>
    <x v="1"/>
    <x v="5"/>
    <x v="4"/>
    <s v="Master"/>
    <s v="Single"/>
    <x v="837"/>
    <x v="4"/>
    <n v="3"/>
    <x v="1"/>
    <x v="1"/>
    <n v="39"/>
    <x v="1"/>
    <x v="0"/>
  </r>
  <r>
    <x v="839"/>
    <n v="33"/>
    <x v="1"/>
    <x v="3"/>
    <x v="2"/>
    <s v="Bachelor"/>
    <s v="Single"/>
    <x v="838"/>
    <x v="6"/>
    <n v="8"/>
    <x v="1"/>
    <x v="1"/>
    <n v="5"/>
    <x v="1"/>
    <x v="0"/>
  </r>
  <r>
    <x v="840"/>
    <n v="23"/>
    <x v="0"/>
    <x v="3"/>
    <x v="0"/>
    <s v="Master"/>
    <s v="Single"/>
    <x v="839"/>
    <x v="13"/>
    <n v="9"/>
    <x v="0"/>
    <x v="3"/>
    <n v="33"/>
    <x v="0"/>
    <x v="1"/>
  </r>
  <r>
    <x v="841"/>
    <n v="53"/>
    <x v="0"/>
    <x v="2"/>
    <x v="2"/>
    <s v="Diploma"/>
    <s v="Married"/>
    <x v="840"/>
    <x v="19"/>
    <n v="5"/>
    <x v="0"/>
    <x v="3"/>
    <n v="55"/>
    <x v="0"/>
    <x v="4"/>
  </r>
  <r>
    <x v="842"/>
    <n v="26"/>
    <x v="1"/>
    <x v="0"/>
    <x v="2"/>
    <s v="Diploma"/>
    <s v="Married"/>
    <x v="841"/>
    <x v="6"/>
    <n v="9"/>
    <x v="1"/>
    <x v="3"/>
    <n v="68"/>
    <x v="1"/>
    <x v="1"/>
  </r>
  <r>
    <x v="843"/>
    <n v="30"/>
    <x v="1"/>
    <x v="1"/>
    <x v="4"/>
    <s v="Diploma"/>
    <s v="Married"/>
    <x v="842"/>
    <x v="11"/>
    <n v="6"/>
    <x v="1"/>
    <x v="0"/>
    <n v="8"/>
    <x v="1"/>
    <x v="0"/>
  </r>
  <r>
    <x v="844"/>
    <n v="25"/>
    <x v="1"/>
    <x v="3"/>
    <x v="3"/>
    <s v="Master"/>
    <s v="Single"/>
    <x v="843"/>
    <x v="17"/>
    <n v="9"/>
    <x v="1"/>
    <x v="3"/>
    <n v="91"/>
    <x v="0"/>
    <x v="1"/>
  </r>
  <r>
    <x v="845"/>
    <n v="43"/>
    <x v="1"/>
    <x v="0"/>
    <x v="0"/>
    <s v="MBA"/>
    <s v="Married"/>
    <x v="844"/>
    <x v="16"/>
    <n v="2"/>
    <x v="1"/>
    <x v="0"/>
    <n v="32"/>
    <x v="1"/>
    <x v="0"/>
  </r>
  <r>
    <x v="846"/>
    <n v="30"/>
    <x v="0"/>
    <x v="2"/>
    <x v="4"/>
    <s v="MBA"/>
    <s v="Single"/>
    <x v="845"/>
    <x v="1"/>
    <n v="7"/>
    <x v="1"/>
    <x v="0"/>
    <n v="20"/>
    <x v="0"/>
    <x v="2"/>
  </r>
  <r>
    <x v="847"/>
    <n v="22"/>
    <x v="1"/>
    <x v="4"/>
    <x v="2"/>
    <s v="Diploma"/>
    <s v="Married"/>
    <x v="846"/>
    <x v="2"/>
    <n v="2"/>
    <x v="0"/>
    <x v="0"/>
    <n v="67"/>
    <x v="1"/>
    <x v="2"/>
  </r>
  <r>
    <x v="848"/>
    <n v="33"/>
    <x v="1"/>
    <x v="1"/>
    <x v="2"/>
    <s v="Bachelor"/>
    <s v="Single"/>
    <x v="847"/>
    <x v="4"/>
    <n v="0"/>
    <x v="0"/>
    <x v="2"/>
    <n v="80"/>
    <x v="0"/>
    <x v="3"/>
  </r>
  <r>
    <x v="849"/>
    <n v="22"/>
    <x v="1"/>
    <x v="5"/>
    <x v="3"/>
    <s v="MBA"/>
    <s v="Single"/>
    <x v="848"/>
    <x v="6"/>
    <n v="9"/>
    <x v="1"/>
    <x v="2"/>
    <n v="57"/>
    <x v="1"/>
    <x v="4"/>
  </r>
  <r>
    <x v="850"/>
    <n v="40"/>
    <x v="1"/>
    <x v="3"/>
    <x v="0"/>
    <s v="Master"/>
    <s v="Married"/>
    <x v="849"/>
    <x v="9"/>
    <n v="4"/>
    <x v="0"/>
    <x v="2"/>
    <n v="89"/>
    <x v="0"/>
    <x v="2"/>
  </r>
  <r>
    <x v="851"/>
    <n v="21"/>
    <x v="1"/>
    <x v="0"/>
    <x v="0"/>
    <s v="MBA"/>
    <s v="Single"/>
    <x v="850"/>
    <x v="19"/>
    <n v="1"/>
    <x v="0"/>
    <x v="0"/>
    <n v="21"/>
    <x v="1"/>
    <x v="0"/>
  </r>
  <r>
    <x v="852"/>
    <n v="57"/>
    <x v="1"/>
    <x v="4"/>
    <x v="1"/>
    <s v="Diploma"/>
    <s v="Married"/>
    <x v="851"/>
    <x v="16"/>
    <n v="9"/>
    <x v="1"/>
    <x v="0"/>
    <n v="44"/>
    <x v="1"/>
    <x v="1"/>
  </r>
  <r>
    <x v="853"/>
    <n v="29"/>
    <x v="1"/>
    <x v="5"/>
    <x v="0"/>
    <s v="Bachelor"/>
    <s v="Single"/>
    <x v="852"/>
    <x v="14"/>
    <n v="5"/>
    <x v="0"/>
    <x v="1"/>
    <n v="17"/>
    <x v="0"/>
    <x v="1"/>
  </r>
  <r>
    <x v="854"/>
    <n v="37"/>
    <x v="0"/>
    <x v="0"/>
    <x v="3"/>
    <s v="MBA"/>
    <s v="Married"/>
    <x v="853"/>
    <x v="13"/>
    <n v="9"/>
    <x v="0"/>
    <x v="0"/>
    <n v="56"/>
    <x v="0"/>
    <x v="3"/>
  </r>
  <r>
    <x v="855"/>
    <n v="29"/>
    <x v="0"/>
    <x v="0"/>
    <x v="1"/>
    <s v="MBA"/>
    <s v="Married"/>
    <x v="854"/>
    <x v="11"/>
    <n v="8"/>
    <x v="0"/>
    <x v="2"/>
    <n v="62"/>
    <x v="1"/>
    <x v="1"/>
  </r>
  <r>
    <x v="856"/>
    <n v="31"/>
    <x v="0"/>
    <x v="5"/>
    <x v="1"/>
    <s v="Diploma"/>
    <s v="Single"/>
    <x v="855"/>
    <x v="16"/>
    <n v="0"/>
    <x v="1"/>
    <x v="0"/>
    <n v="41"/>
    <x v="1"/>
    <x v="2"/>
  </r>
  <r>
    <x v="857"/>
    <n v="35"/>
    <x v="0"/>
    <x v="4"/>
    <x v="2"/>
    <s v="Bachelor"/>
    <s v="Married"/>
    <x v="856"/>
    <x v="2"/>
    <n v="3"/>
    <x v="1"/>
    <x v="0"/>
    <n v="83"/>
    <x v="0"/>
    <x v="1"/>
  </r>
  <r>
    <x v="858"/>
    <n v="44"/>
    <x v="1"/>
    <x v="2"/>
    <x v="2"/>
    <s v="Bachelor"/>
    <s v="Single"/>
    <x v="857"/>
    <x v="6"/>
    <n v="0"/>
    <x v="0"/>
    <x v="1"/>
    <n v="80"/>
    <x v="0"/>
    <x v="2"/>
  </r>
  <r>
    <x v="859"/>
    <n v="58"/>
    <x v="0"/>
    <x v="4"/>
    <x v="0"/>
    <s v="Diploma"/>
    <s v="Married"/>
    <x v="858"/>
    <x v="6"/>
    <n v="0"/>
    <x v="0"/>
    <x v="0"/>
    <n v="65"/>
    <x v="0"/>
    <x v="2"/>
  </r>
  <r>
    <x v="860"/>
    <n v="55"/>
    <x v="0"/>
    <x v="1"/>
    <x v="1"/>
    <s v="Master"/>
    <s v="Married"/>
    <x v="859"/>
    <x v="5"/>
    <n v="7"/>
    <x v="0"/>
    <x v="3"/>
    <n v="83"/>
    <x v="1"/>
    <x v="4"/>
  </r>
  <r>
    <x v="861"/>
    <n v="50"/>
    <x v="1"/>
    <x v="3"/>
    <x v="2"/>
    <s v="MBA"/>
    <s v="Married"/>
    <x v="860"/>
    <x v="10"/>
    <n v="1"/>
    <x v="0"/>
    <x v="1"/>
    <n v="38"/>
    <x v="1"/>
    <x v="3"/>
  </r>
  <r>
    <x v="862"/>
    <n v="51"/>
    <x v="1"/>
    <x v="5"/>
    <x v="3"/>
    <s v="Master"/>
    <s v="Married"/>
    <x v="861"/>
    <x v="5"/>
    <n v="0"/>
    <x v="0"/>
    <x v="0"/>
    <n v="74"/>
    <x v="0"/>
    <x v="0"/>
  </r>
  <r>
    <x v="863"/>
    <n v="25"/>
    <x v="0"/>
    <x v="2"/>
    <x v="2"/>
    <s v="MBA"/>
    <s v="Single"/>
    <x v="862"/>
    <x v="0"/>
    <n v="7"/>
    <x v="0"/>
    <x v="0"/>
    <n v="21"/>
    <x v="1"/>
    <x v="2"/>
  </r>
  <r>
    <x v="864"/>
    <n v="34"/>
    <x v="0"/>
    <x v="5"/>
    <x v="2"/>
    <s v="MBA"/>
    <s v="Married"/>
    <x v="863"/>
    <x v="5"/>
    <n v="3"/>
    <x v="1"/>
    <x v="1"/>
    <n v="24"/>
    <x v="1"/>
    <x v="3"/>
  </r>
  <r>
    <x v="865"/>
    <n v="31"/>
    <x v="1"/>
    <x v="5"/>
    <x v="1"/>
    <s v="Master"/>
    <s v="Married"/>
    <x v="864"/>
    <x v="7"/>
    <n v="2"/>
    <x v="0"/>
    <x v="0"/>
    <n v="77"/>
    <x v="0"/>
    <x v="0"/>
  </r>
  <r>
    <x v="866"/>
    <n v="29"/>
    <x v="0"/>
    <x v="4"/>
    <x v="1"/>
    <s v="Diploma"/>
    <s v="Single"/>
    <x v="865"/>
    <x v="16"/>
    <n v="3"/>
    <x v="0"/>
    <x v="2"/>
    <n v="63"/>
    <x v="1"/>
    <x v="1"/>
  </r>
  <r>
    <x v="867"/>
    <n v="54"/>
    <x v="1"/>
    <x v="3"/>
    <x v="4"/>
    <s v="Diploma"/>
    <s v="Single"/>
    <x v="866"/>
    <x v="0"/>
    <n v="4"/>
    <x v="1"/>
    <x v="3"/>
    <n v="73"/>
    <x v="0"/>
    <x v="3"/>
  </r>
  <r>
    <x v="868"/>
    <n v="32"/>
    <x v="1"/>
    <x v="1"/>
    <x v="3"/>
    <s v="MBA"/>
    <s v="Single"/>
    <x v="867"/>
    <x v="13"/>
    <n v="0"/>
    <x v="0"/>
    <x v="3"/>
    <n v="91"/>
    <x v="0"/>
    <x v="3"/>
  </r>
  <r>
    <x v="869"/>
    <n v="55"/>
    <x v="1"/>
    <x v="0"/>
    <x v="1"/>
    <s v="Diploma"/>
    <s v="Single"/>
    <x v="868"/>
    <x v="11"/>
    <n v="0"/>
    <x v="0"/>
    <x v="2"/>
    <n v="37"/>
    <x v="1"/>
    <x v="3"/>
  </r>
  <r>
    <x v="870"/>
    <n v="55"/>
    <x v="1"/>
    <x v="0"/>
    <x v="0"/>
    <s v="MBA"/>
    <s v="Single"/>
    <x v="869"/>
    <x v="1"/>
    <n v="2"/>
    <x v="0"/>
    <x v="0"/>
    <n v="82"/>
    <x v="1"/>
    <x v="1"/>
  </r>
  <r>
    <x v="871"/>
    <n v="21"/>
    <x v="0"/>
    <x v="5"/>
    <x v="3"/>
    <s v="Diploma"/>
    <s v="Single"/>
    <x v="870"/>
    <x v="1"/>
    <n v="5"/>
    <x v="0"/>
    <x v="0"/>
    <n v="21"/>
    <x v="0"/>
    <x v="1"/>
  </r>
  <r>
    <x v="872"/>
    <n v="42"/>
    <x v="1"/>
    <x v="3"/>
    <x v="3"/>
    <s v="MBA"/>
    <s v="Married"/>
    <x v="871"/>
    <x v="9"/>
    <n v="0"/>
    <x v="1"/>
    <x v="3"/>
    <n v="61"/>
    <x v="0"/>
    <x v="3"/>
  </r>
  <r>
    <x v="873"/>
    <n v="49"/>
    <x v="1"/>
    <x v="2"/>
    <x v="1"/>
    <s v="Diploma"/>
    <s v="Single"/>
    <x v="872"/>
    <x v="6"/>
    <n v="1"/>
    <x v="0"/>
    <x v="0"/>
    <n v="87"/>
    <x v="0"/>
    <x v="4"/>
  </r>
  <r>
    <x v="874"/>
    <n v="28"/>
    <x v="0"/>
    <x v="4"/>
    <x v="3"/>
    <s v="Bachelor"/>
    <s v="Married"/>
    <x v="873"/>
    <x v="10"/>
    <n v="6"/>
    <x v="1"/>
    <x v="3"/>
    <n v="5"/>
    <x v="1"/>
    <x v="2"/>
  </r>
  <r>
    <x v="875"/>
    <n v="31"/>
    <x v="1"/>
    <x v="3"/>
    <x v="1"/>
    <s v="Master"/>
    <s v="Single"/>
    <x v="874"/>
    <x v="9"/>
    <n v="0"/>
    <x v="0"/>
    <x v="3"/>
    <n v="17"/>
    <x v="0"/>
    <x v="1"/>
  </r>
  <r>
    <x v="876"/>
    <n v="57"/>
    <x v="0"/>
    <x v="3"/>
    <x v="2"/>
    <s v="Bachelor"/>
    <s v="Married"/>
    <x v="875"/>
    <x v="15"/>
    <n v="6"/>
    <x v="0"/>
    <x v="2"/>
    <n v="31"/>
    <x v="0"/>
    <x v="4"/>
  </r>
  <r>
    <x v="877"/>
    <n v="34"/>
    <x v="0"/>
    <x v="4"/>
    <x v="4"/>
    <s v="Master"/>
    <s v="Married"/>
    <x v="876"/>
    <x v="3"/>
    <n v="3"/>
    <x v="1"/>
    <x v="3"/>
    <n v="74"/>
    <x v="0"/>
    <x v="1"/>
  </r>
  <r>
    <x v="878"/>
    <n v="50"/>
    <x v="0"/>
    <x v="5"/>
    <x v="2"/>
    <s v="Master"/>
    <s v="Married"/>
    <x v="877"/>
    <x v="9"/>
    <n v="9"/>
    <x v="0"/>
    <x v="0"/>
    <n v="63"/>
    <x v="0"/>
    <x v="3"/>
  </r>
  <r>
    <x v="879"/>
    <n v="55"/>
    <x v="1"/>
    <x v="3"/>
    <x v="1"/>
    <s v="MBA"/>
    <s v="Single"/>
    <x v="878"/>
    <x v="11"/>
    <n v="5"/>
    <x v="1"/>
    <x v="0"/>
    <n v="10"/>
    <x v="1"/>
    <x v="4"/>
  </r>
  <r>
    <x v="880"/>
    <n v="41"/>
    <x v="0"/>
    <x v="0"/>
    <x v="1"/>
    <s v="Master"/>
    <s v="Single"/>
    <x v="879"/>
    <x v="15"/>
    <n v="7"/>
    <x v="1"/>
    <x v="1"/>
    <n v="98"/>
    <x v="1"/>
    <x v="0"/>
  </r>
  <r>
    <x v="881"/>
    <n v="57"/>
    <x v="0"/>
    <x v="4"/>
    <x v="2"/>
    <s v="Bachelor"/>
    <s v="Single"/>
    <x v="880"/>
    <x v="6"/>
    <n v="8"/>
    <x v="1"/>
    <x v="0"/>
    <n v="27"/>
    <x v="0"/>
    <x v="2"/>
  </r>
  <r>
    <x v="882"/>
    <n v="25"/>
    <x v="1"/>
    <x v="2"/>
    <x v="0"/>
    <s v="Bachelor"/>
    <s v="Single"/>
    <x v="881"/>
    <x v="16"/>
    <n v="5"/>
    <x v="0"/>
    <x v="1"/>
    <n v="14"/>
    <x v="1"/>
    <x v="2"/>
  </r>
  <r>
    <x v="883"/>
    <n v="39"/>
    <x v="0"/>
    <x v="1"/>
    <x v="0"/>
    <s v="Diploma"/>
    <s v="Married"/>
    <x v="882"/>
    <x v="2"/>
    <n v="8"/>
    <x v="0"/>
    <x v="3"/>
    <n v="55"/>
    <x v="1"/>
    <x v="1"/>
  </r>
  <r>
    <x v="884"/>
    <n v="34"/>
    <x v="0"/>
    <x v="5"/>
    <x v="0"/>
    <s v="Bachelor"/>
    <s v="Single"/>
    <x v="883"/>
    <x v="10"/>
    <n v="3"/>
    <x v="0"/>
    <x v="0"/>
    <n v="23"/>
    <x v="1"/>
    <x v="2"/>
  </r>
  <r>
    <x v="885"/>
    <n v="46"/>
    <x v="0"/>
    <x v="4"/>
    <x v="1"/>
    <s v="Diploma"/>
    <s v="Married"/>
    <x v="884"/>
    <x v="8"/>
    <n v="5"/>
    <x v="0"/>
    <x v="2"/>
    <n v="55"/>
    <x v="0"/>
    <x v="0"/>
  </r>
  <r>
    <x v="886"/>
    <n v="24"/>
    <x v="0"/>
    <x v="1"/>
    <x v="3"/>
    <s v="Master"/>
    <s v="Married"/>
    <x v="885"/>
    <x v="11"/>
    <n v="7"/>
    <x v="1"/>
    <x v="2"/>
    <n v="96"/>
    <x v="1"/>
    <x v="4"/>
  </r>
  <r>
    <x v="887"/>
    <n v="45"/>
    <x v="0"/>
    <x v="1"/>
    <x v="1"/>
    <s v="Bachelor"/>
    <s v="Single"/>
    <x v="886"/>
    <x v="5"/>
    <n v="8"/>
    <x v="0"/>
    <x v="2"/>
    <n v="91"/>
    <x v="1"/>
    <x v="4"/>
  </r>
  <r>
    <x v="888"/>
    <n v="45"/>
    <x v="1"/>
    <x v="2"/>
    <x v="3"/>
    <s v="Master"/>
    <s v="Single"/>
    <x v="887"/>
    <x v="6"/>
    <n v="2"/>
    <x v="0"/>
    <x v="3"/>
    <n v="72"/>
    <x v="0"/>
    <x v="3"/>
  </r>
  <r>
    <x v="889"/>
    <n v="38"/>
    <x v="0"/>
    <x v="3"/>
    <x v="2"/>
    <s v="Bachelor"/>
    <s v="Single"/>
    <x v="888"/>
    <x v="14"/>
    <n v="1"/>
    <x v="1"/>
    <x v="3"/>
    <n v="88"/>
    <x v="0"/>
    <x v="4"/>
  </r>
  <r>
    <x v="890"/>
    <n v="28"/>
    <x v="0"/>
    <x v="2"/>
    <x v="4"/>
    <s v="Bachelor"/>
    <s v="Married"/>
    <x v="889"/>
    <x v="1"/>
    <n v="5"/>
    <x v="1"/>
    <x v="1"/>
    <n v="87"/>
    <x v="1"/>
    <x v="1"/>
  </r>
  <r>
    <x v="891"/>
    <n v="59"/>
    <x v="1"/>
    <x v="3"/>
    <x v="3"/>
    <s v="Diploma"/>
    <s v="Single"/>
    <x v="890"/>
    <x v="14"/>
    <n v="3"/>
    <x v="0"/>
    <x v="2"/>
    <n v="46"/>
    <x v="1"/>
    <x v="0"/>
  </r>
  <r>
    <x v="892"/>
    <n v="34"/>
    <x v="1"/>
    <x v="3"/>
    <x v="0"/>
    <s v="Master"/>
    <s v="Married"/>
    <x v="891"/>
    <x v="7"/>
    <n v="0"/>
    <x v="1"/>
    <x v="1"/>
    <n v="95"/>
    <x v="0"/>
    <x v="3"/>
  </r>
  <r>
    <x v="893"/>
    <n v="52"/>
    <x v="1"/>
    <x v="4"/>
    <x v="1"/>
    <s v="Bachelor"/>
    <s v="Single"/>
    <x v="892"/>
    <x v="5"/>
    <n v="7"/>
    <x v="1"/>
    <x v="1"/>
    <n v="61"/>
    <x v="0"/>
    <x v="1"/>
  </r>
  <r>
    <x v="894"/>
    <n v="58"/>
    <x v="0"/>
    <x v="4"/>
    <x v="2"/>
    <s v="MBA"/>
    <s v="Married"/>
    <x v="893"/>
    <x v="3"/>
    <n v="8"/>
    <x v="1"/>
    <x v="0"/>
    <n v="72"/>
    <x v="0"/>
    <x v="1"/>
  </r>
  <r>
    <x v="895"/>
    <n v="53"/>
    <x v="1"/>
    <x v="5"/>
    <x v="0"/>
    <s v="Master"/>
    <s v="Single"/>
    <x v="894"/>
    <x v="7"/>
    <n v="8"/>
    <x v="1"/>
    <x v="0"/>
    <n v="42"/>
    <x v="0"/>
    <x v="1"/>
  </r>
  <r>
    <x v="896"/>
    <n v="43"/>
    <x v="0"/>
    <x v="3"/>
    <x v="2"/>
    <s v="Master"/>
    <s v="Single"/>
    <x v="895"/>
    <x v="5"/>
    <n v="1"/>
    <x v="1"/>
    <x v="2"/>
    <n v="66"/>
    <x v="1"/>
    <x v="2"/>
  </r>
  <r>
    <x v="897"/>
    <n v="35"/>
    <x v="0"/>
    <x v="1"/>
    <x v="4"/>
    <s v="Master"/>
    <s v="Married"/>
    <x v="896"/>
    <x v="15"/>
    <n v="8"/>
    <x v="0"/>
    <x v="3"/>
    <n v="11"/>
    <x v="0"/>
    <x v="1"/>
  </r>
  <r>
    <x v="898"/>
    <n v="53"/>
    <x v="1"/>
    <x v="0"/>
    <x v="1"/>
    <s v="Diploma"/>
    <s v="Single"/>
    <x v="897"/>
    <x v="10"/>
    <n v="6"/>
    <x v="0"/>
    <x v="0"/>
    <n v="75"/>
    <x v="1"/>
    <x v="2"/>
  </r>
  <r>
    <x v="899"/>
    <n v="45"/>
    <x v="1"/>
    <x v="5"/>
    <x v="1"/>
    <s v="MBA"/>
    <s v="Single"/>
    <x v="898"/>
    <x v="10"/>
    <n v="4"/>
    <x v="0"/>
    <x v="3"/>
    <n v="54"/>
    <x v="1"/>
    <x v="4"/>
  </r>
  <r>
    <x v="900"/>
    <n v="37"/>
    <x v="0"/>
    <x v="4"/>
    <x v="4"/>
    <s v="Master"/>
    <s v="Single"/>
    <x v="899"/>
    <x v="12"/>
    <n v="6"/>
    <x v="0"/>
    <x v="1"/>
    <n v="56"/>
    <x v="1"/>
    <x v="2"/>
  </r>
  <r>
    <x v="901"/>
    <n v="53"/>
    <x v="1"/>
    <x v="2"/>
    <x v="1"/>
    <s v="Bachelor"/>
    <s v="Single"/>
    <x v="900"/>
    <x v="2"/>
    <n v="8"/>
    <x v="0"/>
    <x v="1"/>
    <n v="30"/>
    <x v="0"/>
    <x v="1"/>
  </r>
  <r>
    <x v="902"/>
    <n v="22"/>
    <x v="0"/>
    <x v="5"/>
    <x v="3"/>
    <s v="Bachelor"/>
    <s v="Single"/>
    <x v="901"/>
    <x v="4"/>
    <n v="7"/>
    <x v="0"/>
    <x v="1"/>
    <n v="30"/>
    <x v="0"/>
    <x v="0"/>
  </r>
  <r>
    <x v="903"/>
    <n v="34"/>
    <x v="1"/>
    <x v="5"/>
    <x v="2"/>
    <s v="Diploma"/>
    <s v="Single"/>
    <x v="902"/>
    <x v="3"/>
    <n v="5"/>
    <x v="0"/>
    <x v="1"/>
    <n v="23"/>
    <x v="1"/>
    <x v="0"/>
  </r>
  <r>
    <x v="904"/>
    <n v="59"/>
    <x v="1"/>
    <x v="5"/>
    <x v="0"/>
    <s v="Bachelor"/>
    <s v="Single"/>
    <x v="903"/>
    <x v="8"/>
    <n v="3"/>
    <x v="1"/>
    <x v="2"/>
    <n v="13"/>
    <x v="1"/>
    <x v="4"/>
  </r>
  <r>
    <x v="905"/>
    <n v="26"/>
    <x v="1"/>
    <x v="5"/>
    <x v="4"/>
    <s v="Master"/>
    <s v="Married"/>
    <x v="904"/>
    <x v="15"/>
    <n v="0"/>
    <x v="0"/>
    <x v="1"/>
    <n v="65"/>
    <x v="1"/>
    <x v="1"/>
  </r>
  <r>
    <x v="906"/>
    <n v="26"/>
    <x v="0"/>
    <x v="0"/>
    <x v="3"/>
    <s v="Bachelor"/>
    <s v="Married"/>
    <x v="905"/>
    <x v="13"/>
    <n v="5"/>
    <x v="0"/>
    <x v="0"/>
    <n v="24"/>
    <x v="1"/>
    <x v="2"/>
  </r>
  <r>
    <x v="907"/>
    <n v="23"/>
    <x v="1"/>
    <x v="2"/>
    <x v="0"/>
    <s v="Master"/>
    <s v="Single"/>
    <x v="906"/>
    <x v="14"/>
    <n v="2"/>
    <x v="0"/>
    <x v="1"/>
    <n v="54"/>
    <x v="1"/>
    <x v="0"/>
  </r>
  <r>
    <x v="908"/>
    <n v="27"/>
    <x v="0"/>
    <x v="2"/>
    <x v="0"/>
    <s v="Bachelor"/>
    <s v="Single"/>
    <x v="907"/>
    <x v="7"/>
    <n v="5"/>
    <x v="1"/>
    <x v="3"/>
    <n v="84"/>
    <x v="0"/>
    <x v="3"/>
  </r>
  <r>
    <x v="909"/>
    <n v="28"/>
    <x v="0"/>
    <x v="2"/>
    <x v="4"/>
    <s v="MBA"/>
    <s v="Single"/>
    <x v="908"/>
    <x v="7"/>
    <n v="5"/>
    <x v="0"/>
    <x v="0"/>
    <n v="85"/>
    <x v="0"/>
    <x v="1"/>
  </r>
  <r>
    <x v="910"/>
    <n v="35"/>
    <x v="0"/>
    <x v="3"/>
    <x v="3"/>
    <s v="Diploma"/>
    <s v="Married"/>
    <x v="909"/>
    <x v="10"/>
    <n v="3"/>
    <x v="0"/>
    <x v="3"/>
    <n v="26"/>
    <x v="0"/>
    <x v="1"/>
  </r>
  <r>
    <x v="911"/>
    <n v="49"/>
    <x v="0"/>
    <x v="1"/>
    <x v="0"/>
    <s v="Diploma"/>
    <s v="Married"/>
    <x v="910"/>
    <x v="7"/>
    <n v="1"/>
    <x v="1"/>
    <x v="3"/>
    <n v="17"/>
    <x v="1"/>
    <x v="3"/>
  </r>
  <r>
    <x v="912"/>
    <n v="53"/>
    <x v="1"/>
    <x v="2"/>
    <x v="0"/>
    <s v="MBA"/>
    <s v="Single"/>
    <x v="911"/>
    <x v="8"/>
    <n v="8"/>
    <x v="0"/>
    <x v="2"/>
    <n v="16"/>
    <x v="1"/>
    <x v="0"/>
  </r>
  <r>
    <x v="913"/>
    <n v="50"/>
    <x v="0"/>
    <x v="5"/>
    <x v="3"/>
    <s v="MBA"/>
    <s v="Married"/>
    <x v="912"/>
    <x v="18"/>
    <n v="1"/>
    <x v="0"/>
    <x v="2"/>
    <n v="14"/>
    <x v="0"/>
    <x v="3"/>
  </r>
  <r>
    <x v="914"/>
    <n v="59"/>
    <x v="0"/>
    <x v="5"/>
    <x v="1"/>
    <s v="Diploma"/>
    <s v="Single"/>
    <x v="913"/>
    <x v="17"/>
    <n v="2"/>
    <x v="1"/>
    <x v="3"/>
    <n v="69"/>
    <x v="0"/>
    <x v="4"/>
  </r>
  <r>
    <x v="915"/>
    <n v="47"/>
    <x v="1"/>
    <x v="2"/>
    <x v="0"/>
    <s v="MBA"/>
    <s v="Single"/>
    <x v="914"/>
    <x v="6"/>
    <n v="9"/>
    <x v="0"/>
    <x v="3"/>
    <n v="34"/>
    <x v="1"/>
    <x v="2"/>
  </r>
  <r>
    <x v="916"/>
    <n v="56"/>
    <x v="0"/>
    <x v="2"/>
    <x v="2"/>
    <s v="Master"/>
    <s v="Single"/>
    <x v="915"/>
    <x v="3"/>
    <n v="0"/>
    <x v="1"/>
    <x v="1"/>
    <n v="12"/>
    <x v="0"/>
    <x v="2"/>
  </r>
  <r>
    <x v="917"/>
    <n v="49"/>
    <x v="1"/>
    <x v="5"/>
    <x v="3"/>
    <s v="Bachelor"/>
    <s v="Single"/>
    <x v="916"/>
    <x v="13"/>
    <n v="6"/>
    <x v="0"/>
    <x v="0"/>
    <n v="25"/>
    <x v="0"/>
    <x v="0"/>
  </r>
  <r>
    <x v="918"/>
    <n v="58"/>
    <x v="0"/>
    <x v="3"/>
    <x v="0"/>
    <s v="Diploma"/>
    <s v="Married"/>
    <x v="917"/>
    <x v="12"/>
    <n v="0"/>
    <x v="0"/>
    <x v="1"/>
    <n v="26"/>
    <x v="0"/>
    <x v="3"/>
  </r>
  <r>
    <x v="919"/>
    <n v="53"/>
    <x v="1"/>
    <x v="4"/>
    <x v="4"/>
    <s v="MBA"/>
    <s v="Married"/>
    <x v="918"/>
    <x v="7"/>
    <n v="8"/>
    <x v="0"/>
    <x v="2"/>
    <n v="22"/>
    <x v="1"/>
    <x v="1"/>
  </r>
  <r>
    <x v="920"/>
    <n v="57"/>
    <x v="0"/>
    <x v="4"/>
    <x v="2"/>
    <s v="Master"/>
    <s v="Single"/>
    <x v="919"/>
    <x v="17"/>
    <n v="0"/>
    <x v="1"/>
    <x v="2"/>
    <n v="70"/>
    <x v="1"/>
    <x v="1"/>
  </r>
  <r>
    <x v="921"/>
    <n v="47"/>
    <x v="1"/>
    <x v="2"/>
    <x v="0"/>
    <s v="Diploma"/>
    <s v="Married"/>
    <x v="920"/>
    <x v="7"/>
    <n v="4"/>
    <x v="1"/>
    <x v="1"/>
    <n v="52"/>
    <x v="0"/>
    <x v="1"/>
  </r>
  <r>
    <x v="922"/>
    <n v="53"/>
    <x v="0"/>
    <x v="0"/>
    <x v="2"/>
    <s v="MBA"/>
    <s v="Married"/>
    <x v="921"/>
    <x v="2"/>
    <n v="6"/>
    <x v="1"/>
    <x v="0"/>
    <n v="48"/>
    <x v="1"/>
    <x v="4"/>
  </r>
  <r>
    <x v="923"/>
    <n v="24"/>
    <x v="0"/>
    <x v="2"/>
    <x v="2"/>
    <s v="Diploma"/>
    <s v="Single"/>
    <x v="922"/>
    <x v="18"/>
    <n v="2"/>
    <x v="0"/>
    <x v="3"/>
    <n v="13"/>
    <x v="0"/>
    <x v="4"/>
  </r>
  <r>
    <x v="924"/>
    <n v="42"/>
    <x v="1"/>
    <x v="2"/>
    <x v="1"/>
    <s v="MBA"/>
    <s v="Married"/>
    <x v="923"/>
    <x v="6"/>
    <n v="8"/>
    <x v="0"/>
    <x v="1"/>
    <n v="71"/>
    <x v="0"/>
    <x v="1"/>
  </r>
  <r>
    <x v="925"/>
    <n v="22"/>
    <x v="1"/>
    <x v="4"/>
    <x v="2"/>
    <s v="Diploma"/>
    <s v="Single"/>
    <x v="924"/>
    <x v="3"/>
    <n v="7"/>
    <x v="1"/>
    <x v="2"/>
    <n v="58"/>
    <x v="1"/>
    <x v="0"/>
  </r>
  <r>
    <x v="926"/>
    <n v="30"/>
    <x v="1"/>
    <x v="5"/>
    <x v="1"/>
    <s v="Master"/>
    <s v="Single"/>
    <x v="925"/>
    <x v="11"/>
    <n v="2"/>
    <x v="1"/>
    <x v="0"/>
    <n v="30"/>
    <x v="1"/>
    <x v="4"/>
  </r>
  <r>
    <x v="927"/>
    <n v="25"/>
    <x v="1"/>
    <x v="2"/>
    <x v="3"/>
    <s v="Master"/>
    <s v="Single"/>
    <x v="926"/>
    <x v="7"/>
    <n v="4"/>
    <x v="0"/>
    <x v="2"/>
    <n v="89"/>
    <x v="1"/>
    <x v="4"/>
  </r>
  <r>
    <x v="928"/>
    <n v="30"/>
    <x v="0"/>
    <x v="5"/>
    <x v="1"/>
    <s v="Bachelor"/>
    <s v="Single"/>
    <x v="927"/>
    <x v="4"/>
    <n v="6"/>
    <x v="0"/>
    <x v="0"/>
    <n v="98"/>
    <x v="0"/>
    <x v="2"/>
  </r>
  <r>
    <x v="929"/>
    <n v="53"/>
    <x v="0"/>
    <x v="5"/>
    <x v="4"/>
    <s v="Diploma"/>
    <s v="Married"/>
    <x v="928"/>
    <x v="8"/>
    <n v="3"/>
    <x v="0"/>
    <x v="0"/>
    <n v="96"/>
    <x v="0"/>
    <x v="2"/>
  </r>
  <r>
    <x v="930"/>
    <n v="58"/>
    <x v="1"/>
    <x v="0"/>
    <x v="0"/>
    <s v="Bachelor"/>
    <s v="Single"/>
    <x v="929"/>
    <x v="17"/>
    <n v="4"/>
    <x v="0"/>
    <x v="0"/>
    <n v="30"/>
    <x v="0"/>
    <x v="0"/>
  </r>
  <r>
    <x v="931"/>
    <n v="33"/>
    <x v="0"/>
    <x v="5"/>
    <x v="3"/>
    <s v="Diploma"/>
    <s v="Married"/>
    <x v="930"/>
    <x v="1"/>
    <n v="2"/>
    <x v="1"/>
    <x v="1"/>
    <n v="38"/>
    <x v="1"/>
    <x v="4"/>
  </r>
  <r>
    <x v="932"/>
    <n v="51"/>
    <x v="1"/>
    <x v="4"/>
    <x v="3"/>
    <s v="MBA"/>
    <s v="Single"/>
    <x v="931"/>
    <x v="17"/>
    <n v="8"/>
    <x v="0"/>
    <x v="1"/>
    <n v="12"/>
    <x v="0"/>
    <x v="4"/>
  </r>
  <r>
    <x v="933"/>
    <n v="56"/>
    <x v="1"/>
    <x v="3"/>
    <x v="4"/>
    <s v="MBA"/>
    <s v="Single"/>
    <x v="932"/>
    <x v="19"/>
    <n v="9"/>
    <x v="0"/>
    <x v="1"/>
    <n v="14"/>
    <x v="0"/>
    <x v="3"/>
  </r>
  <r>
    <x v="934"/>
    <n v="44"/>
    <x v="0"/>
    <x v="3"/>
    <x v="1"/>
    <s v="Bachelor"/>
    <s v="Married"/>
    <x v="933"/>
    <x v="17"/>
    <n v="8"/>
    <x v="0"/>
    <x v="0"/>
    <n v="52"/>
    <x v="0"/>
    <x v="0"/>
  </r>
  <r>
    <x v="935"/>
    <n v="35"/>
    <x v="0"/>
    <x v="1"/>
    <x v="0"/>
    <s v="Diploma"/>
    <s v="Single"/>
    <x v="934"/>
    <x v="4"/>
    <n v="6"/>
    <x v="0"/>
    <x v="0"/>
    <n v="59"/>
    <x v="0"/>
    <x v="0"/>
  </r>
  <r>
    <x v="936"/>
    <n v="49"/>
    <x v="0"/>
    <x v="2"/>
    <x v="1"/>
    <s v="Bachelor"/>
    <s v="Married"/>
    <x v="935"/>
    <x v="5"/>
    <n v="9"/>
    <x v="0"/>
    <x v="2"/>
    <n v="58"/>
    <x v="1"/>
    <x v="3"/>
  </r>
  <r>
    <x v="937"/>
    <n v="28"/>
    <x v="0"/>
    <x v="4"/>
    <x v="2"/>
    <s v="Master"/>
    <s v="Married"/>
    <x v="936"/>
    <x v="9"/>
    <n v="1"/>
    <x v="0"/>
    <x v="3"/>
    <n v="82"/>
    <x v="1"/>
    <x v="3"/>
  </r>
  <r>
    <x v="938"/>
    <n v="25"/>
    <x v="0"/>
    <x v="5"/>
    <x v="1"/>
    <s v="Bachelor"/>
    <s v="Single"/>
    <x v="937"/>
    <x v="2"/>
    <n v="6"/>
    <x v="0"/>
    <x v="1"/>
    <n v="44"/>
    <x v="1"/>
    <x v="2"/>
  </r>
  <r>
    <x v="939"/>
    <n v="49"/>
    <x v="0"/>
    <x v="3"/>
    <x v="3"/>
    <s v="Bachelor"/>
    <s v="Single"/>
    <x v="938"/>
    <x v="10"/>
    <n v="6"/>
    <x v="1"/>
    <x v="0"/>
    <n v="19"/>
    <x v="0"/>
    <x v="0"/>
  </r>
  <r>
    <x v="940"/>
    <n v="24"/>
    <x v="0"/>
    <x v="4"/>
    <x v="0"/>
    <s v="MBA"/>
    <s v="Single"/>
    <x v="939"/>
    <x v="7"/>
    <n v="4"/>
    <x v="1"/>
    <x v="2"/>
    <n v="85"/>
    <x v="0"/>
    <x v="0"/>
  </r>
  <r>
    <x v="941"/>
    <n v="32"/>
    <x v="1"/>
    <x v="3"/>
    <x v="1"/>
    <s v="Bachelor"/>
    <s v="Single"/>
    <x v="940"/>
    <x v="4"/>
    <n v="8"/>
    <x v="1"/>
    <x v="2"/>
    <n v="22"/>
    <x v="0"/>
    <x v="3"/>
  </r>
  <r>
    <x v="942"/>
    <n v="22"/>
    <x v="1"/>
    <x v="5"/>
    <x v="0"/>
    <s v="Diploma"/>
    <s v="Single"/>
    <x v="941"/>
    <x v="1"/>
    <n v="2"/>
    <x v="0"/>
    <x v="2"/>
    <n v="27"/>
    <x v="1"/>
    <x v="1"/>
  </r>
  <r>
    <x v="943"/>
    <n v="47"/>
    <x v="1"/>
    <x v="3"/>
    <x v="0"/>
    <s v="MBA"/>
    <s v="Single"/>
    <x v="942"/>
    <x v="2"/>
    <n v="3"/>
    <x v="1"/>
    <x v="1"/>
    <n v="66"/>
    <x v="1"/>
    <x v="1"/>
  </r>
  <r>
    <x v="944"/>
    <n v="51"/>
    <x v="1"/>
    <x v="2"/>
    <x v="2"/>
    <s v="Bachelor"/>
    <s v="Married"/>
    <x v="943"/>
    <x v="14"/>
    <n v="0"/>
    <x v="0"/>
    <x v="1"/>
    <n v="50"/>
    <x v="1"/>
    <x v="2"/>
  </r>
  <r>
    <x v="945"/>
    <n v="56"/>
    <x v="1"/>
    <x v="2"/>
    <x v="2"/>
    <s v="Master"/>
    <s v="Married"/>
    <x v="944"/>
    <x v="7"/>
    <n v="5"/>
    <x v="0"/>
    <x v="3"/>
    <n v="91"/>
    <x v="1"/>
    <x v="1"/>
  </r>
  <r>
    <x v="946"/>
    <n v="56"/>
    <x v="0"/>
    <x v="1"/>
    <x v="3"/>
    <s v="Bachelor"/>
    <s v="Single"/>
    <x v="945"/>
    <x v="13"/>
    <n v="3"/>
    <x v="0"/>
    <x v="2"/>
    <n v="43"/>
    <x v="1"/>
    <x v="1"/>
  </r>
  <r>
    <x v="947"/>
    <n v="46"/>
    <x v="1"/>
    <x v="1"/>
    <x v="4"/>
    <s v="Bachelor"/>
    <s v="Married"/>
    <x v="946"/>
    <x v="1"/>
    <n v="0"/>
    <x v="0"/>
    <x v="1"/>
    <n v="19"/>
    <x v="0"/>
    <x v="1"/>
  </r>
  <r>
    <x v="948"/>
    <n v="47"/>
    <x v="1"/>
    <x v="3"/>
    <x v="0"/>
    <s v="Bachelor"/>
    <s v="Married"/>
    <x v="947"/>
    <x v="17"/>
    <n v="1"/>
    <x v="1"/>
    <x v="2"/>
    <n v="57"/>
    <x v="1"/>
    <x v="4"/>
  </r>
  <r>
    <x v="949"/>
    <n v="25"/>
    <x v="1"/>
    <x v="4"/>
    <x v="4"/>
    <s v="MBA"/>
    <s v="Single"/>
    <x v="948"/>
    <x v="9"/>
    <n v="2"/>
    <x v="0"/>
    <x v="0"/>
    <n v="92"/>
    <x v="1"/>
    <x v="2"/>
  </r>
  <r>
    <x v="950"/>
    <n v="40"/>
    <x v="1"/>
    <x v="2"/>
    <x v="3"/>
    <s v="Diploma"/>
    <s v="Single"/>
    <x v="949"/>
    <x v="0"/>
    <n v="8"/>
    <x v="0"/>
    <x v="2"/>
    <n v="68"/>
    <x v="1"/>
    <x v="3"/>
  </r>
  <r>
    <x v="951"/>
    <n v="31"/>
    <x v="1"/>
    <x v="4"/>
    <x v="0"/>
    <s v="Master"/>
    <s v="Married"/>
    <x v="950"/>
    <x v="11"/>
    <n v="7"/>
    <x v="1"/>
    <x v="3"/>
    <n v="67"/>
    <x v="0"/>
    <x v="1"/>
  </r>
  <r>
    <x v="952"/>
    <n v="30"/>
    <x v="1"/>
    <x v="4"/>
    <x v="0"/>
    <s v="Bachelor"/>
    <s v="Single"/>
    <x v="951"/>
    <x v="6"/>
    <n v="6"/>
    <x v="1"/>
    <x v="1"/>
    <n v="96"/>
    <x v="1"/>
    <x v="4"/>
  </r>
  <r>
    <x v="953"/>
    <n v="58"/>
    <x v="1"/>
    <x v="3"/>
    <x v="4"/>
    <s v="Diploma"/>
    <s v="Married"/>
    <x v="952"/>
    <x v="16"/>
    <n v="3"/>
    <x v="1"/>
    <x v="0"/>
    <n v="84"/>
    <x v="1"/>
    <x v="1"/>
  </r>
  <r>
    <x v="954"/>
    <n v="26"/>
    <x v="0"/>
    <x v="4"/>
    <x v="1"/>
    <s v="Diploma"/>
    <s v="Single"/>
    <x v="953"/>
    <x v="5"/>
    <n v="0"/>
    <x v="0"/>
    <x v="1"/>
    <n v="20"/>
    <x v="1"/>
    <x v="4"/>
  </r>
  <r>
    <x v="955"/>
    <n v="28"/>
    <x v="0"/>
    <x v="2"/>
    <x v="2"/>
    <s v="MBA"/>
    <s v="Married"/>
    <x v="954"/>
    <x v="18"/>
    <n v="7"/>
    <x v="1"/>
    <x v="0"/>
    <n v="74"/>
    <x v="0"/>
    <x v="2"/>
  </r>
  <r>
    <x v="956"/>
    <n v="43"/>
    <x v="1"/>
    <x v="5"/>
    <x v="1"/>
    <s v="Master"/>
    <s v="Married"/>
    <x v="955"/>
    <x v="12"/>
    <n v="3"/>
    <x v="0"/>
    <x v="2"/>
    <n v="70"/>
    <x v="0"/>
    <x v="1"/>
  </r>
  <r>
    <x v="957"/>
    <n v="46"/>
    <x v="0"/>
    <x v="1"/>
    <x v="4"/>
    <s v="MBA"/>
    <s v="Married"/>
    <x v="956"/>
    <x v="12"/>
    <n v="2"/>
    <x v="0"/>
    <x v="2"/>
    <n v="17"/>
    <x v="1"/>
    <x v="4"/>
  </r>
  <r>
    <x v="958"/>
    <n v="32"/>
    <x v="0"/>
    <x v="5"/>
    <x v="2"/>
    <s v="Diploma"/>
    <s v="Married"/>
    <x v="957"/>
    <x v="19"/>
    <n v="8"/>
    <x v="1"/>
    <x v="3"/>
    <n v="51"/>
    <x v="1"/>
    <x v="0"/>
  </r>
  <r>
    <x v="959"/>
    <n v="46"/>
    <x v="0"/>
    <x v="4"/>
    <x v="1"/>
    <s v="Diploma"/>
    <s v="Single"/>
    <x v="958"/>
    <x v="3"/>
    <n v="9"/>
    <x v="1"/>
    <x v="3"/>
    <n v="13"/>
    <x v="1"/>
    <x v="0"/>
  </r>
  <r>
    <x v="960"/>
    <n v="33"/>
    <x v="0"/>
    <x v="5"/>
    <x v="2"/>
    <s v="Diploma"/>
    <s v="Single"/>
    <x v="959"/>
    <x v="17"/>
    <n v="3"/>
    <x v="1"/>
    <x v="0"/>
    <n v="67"/>
    <x v="1"/>
    <x v="4"/>
  </r>
  <r>
    <x v="961"/>
    <n v="38"/>
    <x v="1"/>
    <x v="2"/>
    <x v="0"/>
    <s v="MBA"/>
    <s v="Married"/>
    <x v="960"/>
    <x v="3"/>
    <n v="3"/>
    <x v="0"/>
    <x v="3"/>
    <n v="38"/>
    <x v="0"/>
    <x v="1"/>
  </r>
  <r>
    <x v="962"/>
    <n v="45"/>
    <x v="0"/>
    <x v="2"/>
    <x v="1"/>
    <s v="Master"/>
    <s v="Married"/>
    <x v="961"/>
    <x v="2"/>
    <n v="8"/>
    <x v="0"/>
    <x v="3"/>
    <n v="85"/>
    <x v="1"/>
    <x v="1"/>
  </r>
  <r>
    <x v="963"/>
    <n v="53"/>
    <x v="0"/>
    <x v="4"/>
    <x v="2"/>
    <s v="Bachelor"/>
    <s v="Single"/>
    <x v="962"/>
    <x v="3"/>
    <n v="1"/>
    <x v="0"/>
    <x v="3"/>
    <n v="95"/>
    <x v="0"/>
    <x v="2"/>
  </r>
  <r>
    <x v="964"/>
    <n v="32"/>
    <x v="0"/>
    <x v="3"/>
    <x v="2"/>
    <s v="MBA"/>
    <s v="Single"/>
    <x v="963"/>
    <x v="11"/>
    <n v="4"/>
    <x v="0"/>
    <x v="3"/>
    <n v="33"/>
    <x v="1"/>
    <x v="2"/>
  </r>
  <r>
    <x v="965"/>
    <n v="56"/>
    <x v="1"/>
    <x v="5"/>
    <x v="2"/>
    <s v="Diploma"/>
    <s v="Married"/>
    <x v="964"/>
    <x v="3"/>
    <n v="3"/>
    <x v="0"/>
    <x v="2"/>
    <n v="41"/>
    <x v="0"/>
    <x v="3"/>
  </r>
  <r>
    <x v="966"/>
    <n v="24"/>
    <x v="1"/>
    <x v="3"/>
    <x v="1"/>
    <s v="MBA"/>
    <s v="Married"/>
    <x v="965"/>
    <x v="14"/>
    <n v="8"/>
    <x v="0"/>
    <x v="3"/>
    <n v="47"/>
    <x v="0"/>
    <x v="2"/>
  </r>
  <r>
    <x v="967"/>
    <n v="25"/>
    <x v="1"/>
    <x v="3"/>
    <x v="3"/>
    <s v="Diploma"/>
    <s v="Married"/>
    <x v="966"/>
    <x v="15"/>
    <n v="4"/>
    <x v="1"/>
    <x v="2"/>
    <n v="90"/>
    <x v="1"/>
    <x v="1"/>
  </r>
  <r>
    <x v="968"/>
    <n v="57"/>
    <x v="1"/>
    <x v="0"/>
    <x v="1"/>
    <s v="Bachelor"/>
    <s v="Married"/>
    <x v="967"/>
    <x v="11"/>
    <n v="8"/>
    <x v="0"/>
    <x v="2"/>
    <n v="68"/>
    <x v="0"/>
    <x v="3"/>
  </r>
  <r>
    <x v="969"/>
    <n v="28"/>
    <x v="1"/>
    <x v="4"/>
    <x v="4"/>
    <s v="Bachelor"/>
    <s v="Married"/>
    <x v="968"/>
    <x v="17"/>
    <n v="8"/>
    <x v="1"/>
    <x v="1"/>
    <n v="28"/>
    <x v="1"/>
    <x v="2"/>
  </r>
  <r>
    <x v="970"/>
    <n v="48"/>
    <x v="1"/>
    <x v="1"/>
    <x v="1"/>
    <s v="Master"/>
    <s v="Single"/>
    <x v="969"/>
    <x v="7"/>
    <n v="1"/>
    <x v="1"/>
    <x v="2"/>
    <n v="75"/>
    <x v="0"/>
    <x v="4"/>
  </r>
  <r>
    <x v="971"/>
    <n v="51"/>
    <x v="1"/>
    <x v="2"/>
    <x v="2"/>
    <s v="Diploma"/>
    <s v="Married"/>
    <x v="970"/>
    <x v="19"/>
    <n v="8"/>
    <x v="1"/>
    <x v="2"/>
    <n v="38"/>
    <x v="0"/>
    <x v="0"/>
  </r>
  <r>
    <x v="972"/>
    <n v="29"/>
    <x v="0"/>
    <x v="2"/>
    <x v="0"/>
    <s v="Master"/>
    <s v="Single"/>
    <x v="971"/>
    <x v="18"/>
    <n v="2"/>
    <x v="1"/>
    <x v="3"/>
    <n v="52"/>
    <x v="1"/>
    <x v="2"/>
  </r>
  <r>
    <x v="973"/>
    <n v="49"/>
    <x v="0"/>
    <x v="4"/>
    <x v="1"/>
    <s v="Master"/>
    <s v="Single"/>
    <x v="972"/>
    <x v="3"/>
    <n v="3"/>
    <x v="1"/>
    <x v="2"/>
    <n v="16"/>
    <x v="1"/>
    <x v="2"/>
  </r>
  <r>
    <x v="974"/>
    <n v="34"/>
    <x v="0"/>
    <x v="1"/>
    <x v="1"/>
    <s v="Bachelor"/>
    <s v="Single"/>
    <x v="973"/>
    <x v="17"/>
    <n v="0"/>
    <x v="0"/>
    <x v="0"/>
    <n v="27"/>
    <x v="0"/>
    <x v="4"/>
  </r>
  <r>
    <x v="975"/>
    <n v="42"/>
    <x v="1"/>
    <x v="2"/>
    <x v="2"/>
    <s v="MBA"/>
    <s v="Married"/>
    <x v="974"/>
    <x v="13"/>
    <n v="0"/>
    <x v="0"/>
    <x v="3"/>
    <n v="83"/>
    <x v="0"/>
    <x v="1"/>
  </r>
  <r>
    <x v="976"/>
    <n v="31"/>
    <x v="1"/>
    <x v="4"/>
    <x v="0"/>
    <s v="MBA"/>
    <s v="Single"/>
    <x v="975"/>
    <x v="0"/>
    <n v="0"/>
    <x v="0"/>
    <x v="3"/>
    <n v="17"/>
    <x v="1"/>
    <x v="4"/>
  </r>
  <r>
    <x v="977"/>
    <n v="43"/>
    <x v="1"/>
    <x v="2"/>
    <x v="0"/>
    <s v="Master"/>
    <s v="Single"/>
    <x v="976"/>
    <x v="5"/>
    <n v="8"/>
    <x v="0"/>
    <x v="3"/>
    <n v="91"/>
    <x v="1"/>
    <x v="2"/>
  </r>
  <r>
    <x v="978"/>
    <n v="21"/>
    <x v="1"/>
    <x v="3"/>
    <x v="4"/>
    <s v="Bachelor"/>
    <s v="Single"/>
    <x v="977"/>
    <x v="16"/>
    <n v="7"/>
    <x v="1"/>
    <x v="1"/>
    <n v="49"/>
    <x v="1"/>
    <x v="1"/>
  </r>
  <r>
    <x v="979"/>
    <n v="57"/>
    <x v="1"/>
    <x v="5"/>
    <x v="1"/>
    <s v="Diploma"/>
    <s v="Single"/>
    <x v="978"/>
    <x v="13"/>
    <n v="4"/>
    <x v="1"/>
    <x v="3"/>
    <n v="69"/>
    <x v="0"/>
    <x v="3"/>
  </r>
  <r>
    <x v="980"/>
    <n v="41"/>
    <x v="0"/>
    <x v="5"/>
    <x v="0"/>
    <s v="MBA"/>
    <s v="Married"/>
    <x v="979"/>
    <x v="0"/>
    <n v="4"/>
    <x v="1"/>
    <x v="2"/>
    <n v="51"/>
    <x v="1"/>
    <x v="2"/>
  </r>
  <r>
    <x v="981"/>
    <n v="46"/>
    <x v="0"/>
    <x v="2"/>
    <x v="0"/>
    <s v="Master"/>
    <s v="Married"/>
    <x v="980"/>
    <x v="11"/>
    <n v="8"/>
    <x v="0"/>
    <x v="0"/>
    <n v="62"/>
    <x v="1"/>
    <x v="4"/>
  </r>
  <r>
    <x v="982"/>
    <n v="56"/>
    <x v="1"/>
    <x v="0"/>
    <x v="3"/>
    <s v="MBA"/>
    <s v="Single"/>
    <x v="981"/>
    <x v="5"/>
    <n v="2"/>
    <x v="0"/>
    <x v="3"/>
    <n v="9"/>
    <x v="0"/>
    <x v="3"/>
  </r>
  <r>
    <x v="983"/>
    <n v="43"/>
    <x v="1"/>
    <x v="1"/>
    <x v="3"/>
    <s v="MBA"/>
    <s v="Single"/>
    <x v="982"/>
    <x v="0"/>
    <n v="2"/>
    <x v="0"/>
    <x v="3"/>
    <n v="81"/>
    <x v="1"/>
    <x v="0"/>
  </r>
  <r>
    <x v="984"/>
    <n v="21"/>
    <x v="1"/>
    <x v="1"/>
    <x v="0"/>
    <s v="Diploma"/>
    <s v="Married"/>
    <x v="983"/>
    <x v="2"/>
    <n v="6"/>
    <x v="0"/>
    <x v="0"/>
    <n v="9"/>
    <x v="1"/>
    <x v="3"/>
  </r>
  <r>
    <x v="985"/>
    <n v="35"/>
    <x v="1"/>
    <x v="1"/>
    <x v="4"/>
    <s v="Bachelor"/>
    <s v="Married"/>
    <x v="984"/>
    <x v="1"/>
    <n v="8"/>
    <x v="1"/>
    <x v="3"/>
    <n v="64"/>
    <x v="1"/>
    <x v="4"/>
  </r>
  <r>
    <x v="986"/>
    <n v="41"/>
    <x v="0"/>
    <x v="3"/>
    <x v="0"/>
    <s v="Diploma"/>
    <s v="Married"/>
    <x v="985"/>
    <x v="1"/>
    <n v="5"/>
    <x v="1"/>
    <x v="1"/>
    <n v="25"/>
    <x v="1"/>
    <x v="3"/>
  </r>
  <r>
    <x v="987"/>
    <n v="29"/>
    <x v="1"/>
    <x v="1"/>
    <x v="2"/>
    <s v="Bachelor"/>
    <s v="Single"/>
    <x v="986"/>
    <x v="6"/>
    <n v="1"/>
    <x v="0"/>
    <x v="2"/>
    <n v="28"/>
    <x v="0"/>
    <x v="4"/>
  </r>
  <r>
    <x v="988"/>
    <n v="29"/>
    <x v="1"/>
    <x v="5"/>
    <x v="1"/>
    <s v="MBA"/>
    <s v="Married"/>
    <x v="987"/>
    <x v="0"/>
    <n v="0"/>
    <x v="0"/>
    <x v="0"/>
    <n v="22"/>
    <x v="1"/>
    <x v="2"/>
  </r>
  <r>
    <x v="989"/>
    <n v="30"/>
    <x v="1"/>
    <x v="3"/>
    <x v="4"/>
    <s v="Master"/>
    <s v="Single"/>
    <x v="988"/>
    <x v="10"/>
    <n v="1"/>
    <x v="1"/>
    <x v="0"/>
    <n v="25"/>
    <x v="1"/>
    <x v="1"/>
  </r>
  <r>
    <x v="990"/>
    <n v="46"/>
    <x v="1"/>
    <x v="4"/>
    <x v="2"/>
    <s v="Diploma"/>
    <s v="Single"/>
    <x v="989"/>
    <x v="16"/>
    <n v="0"/>
    <x v="1"/>
    <x v="1"/>
    <n v="58"/>
    <x v="1"/>
    <x v="0"/>
  </r>
  <r>
    <x v="991"/>
    <n v="55"/>
    <x v="0"/>
    <x v="1"/>
    <x v="4"/>
    <s v="Bachelor"/>
    <s v="Married"/>
    <x v="990"/>
    <x v="8"/>
    <n v="9"/>
    <x v="1"/>
    <x v="2"/>
    <n v="14"/>
    <x v="1"/>
    <x v="1"/>
  </r>
  <r>
    <x v="992"/>
    <n v="45"/>
    <x v="1"/>
    <x v="1"/>
    <x v="2"/>
    <s v="MBA"/>
    <s v="Single"/>
    <x v="991"/>
    <x v="8"/>
    <n v="9"/>
    <x v="1"/>
    <x v="1"/>
    <n v="28"/>
    <x v="1"/>
    <x v="1"/>
  </r>
  <r>
    <x v="993"/>
    <n v="46"/>
    <x v="1"/>
    <x v="4"/>
    <x v="1"/>
    <s v="Bachelor"/>
    <s v="Married"/>
    <x v="992"/>
    <x v="10"/>
    <n v="8"/>
    <x v="0"/>
    <x v="2"/>
    <n v="89"/>
    <x v="1"/>
    <x v="1"/>
  </r>
  <r>
    <x v="994"/>
    <n v="31"/>
    <x v="0"/>
    <x v="1"/>
    <x v="1"/>
    <s v="Bachelor"/>
    <s v="Single"/>
    <x v="993"/>
    <x v="4"/>
    <n v="9"/>
    <x v="1"/>
    <x v="1"/>
    <n v="93"/>
    <x v="0"/>
    <x v="4"/>
  </r>
  <r>
    <x v="995"/>
    <n v="58"/>
    <x v="0"/>
    <x v="4"/>
    <x v="3"/>
    <s v="Bachelor"/>
    <s v="Married"/>
    <x v="994"/>
    <x v="2"/>
    <n v="7"/>
    <x v="1"/>
    <x v="3"/>
    <n v="64"/>
    <x v="0"/>
    <x v="4"/>
  </r>
  <r>
    <x v="996"/>
    <n v="22"/>
    <x v="0"/>
    <x v="3"/>
    <x v="2"/>
    <s v="MBA"/>
    <s v="Single"/>
    <x v="995"/>
    <x v="4"/>
    <n v="6"/>
    <x v="1"/>
    <x v="1"/>
    <n v="61"/>
    <x v="0"/>
    <x v="0"/>
  </r>
  <r>
    <x v="997"/>
    <n v="27"/>
    <x v="1"/>
    <x v="5"/>
    <x v="3"/>
    <s v="Master"/>
    <s v="Single"/>
    <x v="996"/>
    <x v="12"/>
    <n v="2"/>
    <x v="1"/>
    <x v="0"/>
    <n v="27"/>
    <x v="1"/>
    <x v="4"/>
  </r>
  <r>
    <x v="998"/>
    <n v="38"/>
    <x v="1"/>
    <x v="4"/>
    <x v="2"/>
    <s v="Master"/>
    <s v="Married"/>
    <x v="997"/>
    <x v="17"/>
    <n v="7"/>
    <x v="0"/>
    <x v="0"/>
    <n v="26"/>
    <x v="1"/>
    <x v="4"/>
  </r>
  <r>
    <x v="999"/>
    <n v="47"/>
    <x v="0"/>
    <x v="0"/>
    <x v="3"/>
    <s v="Master"/>
    <s v="Married"/>
    <x v="998"/>
    <x v="4"/>
    <n v="1"/>
    <x v="0"/>
    <x v="0"/>
    <n v="72"/>
    <x v="1"/>
    <x v="4"/>
  </r>
  <r>
    <x v="1000"/>
    <n v="54"/>
    <x v="0"/>
    <x v="4"/>
    <x v="1"/>
    <s v="Bachelor"/>
    <s v="Married"/>
    <x v="999"/>
    <x v="14"/>
    <n v="1"/>
    <x v="0"/>
    <x v="1"/>
    <n v="38"/>
    <x v="0"/>
    <x v="4"/>
  </r>
  <r>
    <x v="1001"/>
    <n v="47"/>
    <x v="0"/>
    <x v="1"/>
    <x v="4"/>
    <s v="MBA"/>
    <s v="Married"/>
    <x v="1000"/>
    <x v="18"/>
    <n v="9"/>
    <x v="0"/>
    <x v="0"/>
    <n v="74"/>
    <x v="1"/>
    <x v="2"/>
  </r>
  <r>
    <x v="1002"/>
    <n v="37"/>
    <x v="0"/>
    <x v="3"/>
    <x v="3"/>
    <s v="Bachelor"/>
    <s v="Single"/>
    <x v="1001"/>
    <x v="3"/>
    <n v="2"/>
    <x v="0"/>
    <x v="0"/>
    <n v="32"/>
    <x v="0"/>
    <x v="0"/>
  </r>
  <r>
    <x v="1003"/>
    <n v="44"/>
    <x v="0"/>
    <x v="2"/>
    <x v="2"/>
    <s v="Master"/>
    <s v="Married"/>
    <x v="1002"/>
    <x v="10"/>
    <n v="6"/>
    <x v="0"/>
    <x v="3"/>
    <n v="99"/>
    <x v="1"/>
    <x v="4"/>
  </r>
  <r>
    <x v="1004"/>
    <n v="45"/>
    <x v="0"/>
    <x v="3"/>
    <x v="2"/>
    <s v="Master"/>
    <s v="Married"/>
    <x v="1003"/>
    <x v="5"/>
    <n v="0"/>
    <x v="1"/>
    <x v="3"/>
    <n v="43"/>
    <x v="1"/>
    <x v="0"/>
  </r>
  <r>
    <x v="1005"/>
    <n v="27"/>
    <x v="1"/>
    <x v="2"/>
    <x v="1"/>
    <s v="MBA"/>
    <s v="Single"/>
    <x v="1004"/>
    <x v="7"/>
    <n v="7"/>
    <x v="1"/>
    <x v="2"/>
    <n v="46"/>
    <x v="0"/>
    <x v="3"/>
  </r>
  <r>
    <x v="1006"/>
    <n v="26"/>
    <x v="1"/>
    <x v="4"/>
    <x v="2"/>
    <s v="Bachelor"/>
    <s v="Married"/>
    <x v="1005"/>
    <x v="4"/>
    <n v="6"/>
    <x v="1"/>
    <x v="2"/>
    <n v="27"/>
    <x v="0"/>
    <x v="2"/>
  </r>
  <r>
    <x v="1007"/>
    <n v="44"/>
    <x v="1"/>
    <x v="5"/>
    <x v="0"/>
    <s v="Diploma"/>
    <s v="Married"/>
    <x v="1006"/>
    <x v="7"/>
    <n v="3"/>
    <x v="1"/>
    <x v="2"/>
    <n v="74"/>
    <x v="0"/>
    <x v="4"/>
  </r>
  <r>
    <x v="1008"/>
    <n v="53"/>
    <x v="0"/>
    <x v="0"/>
    <x v="4"/>
    <s v="Diploma"/>
    <s v="Single"/>
    <x v="1007"/>
    <x v="6"/>
    <n v="4"/>
    <x v="0"/>
    <x v="1"/>
    <n v="84"/>
    <x v="0"/>
    <x v="2"/>
  </r>
  <r>
    <x v="1009"/>
    <n v="49"/>
    <x v="0"/>
    <x v="3"/>
    <x v="3"/>
    <s v="Master"/>
    <s v="Married"/>
    <x v="1008"/>
    <x v="13"/>
    <n v="9"/>
    <x v="1"/>
    <x v="2"/>
    <n v="6"/>
    <x v="0"/>
    <x v="2"/>
  </r>
  <r>
    <x v="1010"/>
    <n v="42"/>
    <x v="0"/>
    <x v="1"/>
    <x v="4"/>
    <s v="MBA"/>
    <s v="Married"/>
    <x v="1009"/>
    <x v="11"/>
    <n v="0"/>
    <x v="0"/>
    <x v="1"/>
    <n v="28"/>
    <x v="0"/>
    <x v="3"/>
  </r>
  <r>
    <x v="1011"/>
    <n v="46"/>
    <x v="0"/>
    <x v="2"/>
    <x v="1"/>
    <s v="Bachelor"/>
    <s v="Married"/>
    <x v="1010"/>
    <x v="14"/>
    <n v="3"/>
    <x v="1"/>
    <x v="1"/>
    <n v="21"/>
    <x v="1"/>
    <x v="0"/>
  </r>
  <r>
    <x v="1012"/>
    <n v="48"/>
    <x v="0"/>
    <x v="1"/>
    <x v="3"/>
    <s v="Bachelor"/>
    <s v="Married"/>
    <x v="1011"/>
    <x v="5"/>
    <n v="0"/>
    <x v="1"/>
    <x v="2"/>
    <n v="69"/>
    <x v="0"/>
    <x v="2"/>
  </r>
  <r>
    <x v="1013"/>
    <n v="41"/>
    <x v="0"/>
    <x v="5"/>
    <x v="3"/>
    <s v="Master"/>
    <s v="Married"/>
    <x v="1012"/>
    <x v="12"/>
    <n v="0"/>
    <x v="1"/>
    <x v="2"/>
    <n v="74"/>
    <x v="1"/>
    <x v="1"/>
  </r>
  <r>
    <x v="1014"/>
    <n v="27"/>
    <x v="1"/>
    <x v="2"/>
    <x v="0"/>
    <s v="Master"/>
    <s v="Married"/>
    <x v="1013"/>
    <x v="9"/>
    <n v="9"/>
    <x v="0"/>
    <x v="1"/>
    <n v="73"/>
    <x v="1"/>
    <x v="3"/>
  </r>
  <r>
    <x v="1015"/>
    <n v="37"/>
    <x v="1"/>
    <x v="3"/>
    <x v="1"/>
    <s v="Bachelor"/>
    <s v="Single"/>
    <x v="1014"/>
    <x v="11"/>
    <n v="0"/>
    <x v="1"/>
    <x v="3"/>
    <n v="64"/>
    <x v="1"/>
    <x v="1"/>
  </r>
  <r>
    <x v="1016"/>
    <n v="40"/>
    <x v="0"/>
    <x v="4"/>
    <x v="2"/>
    <s v="Bachelor"/>
    <s v="Married"/>
    <x v="1015"/>
    <x v="19"/>
    <n v="6"/>
    <x v="0"/>
    <x v="0"/>
    <n v="54"/>
    <x v="1"/>
    <x v="3"/>
  </r>
  <r>
    <x v="1017"/>
    <n v="40"/>
    <x v="1"/>
    <x v="1"/>
    <x v="0"/>
    <s v="Master"/>
    <s v="Single"/>
    <x v="1016"/>
    <x v="19"/>
    <n v="6"/>
    <x v="0"/>
    <x v="0"/>
    <n v="97"/>
    <x v="1"/>
    <x v="1"/>
  </r>
  <r>
    <x v="1018"/>
    <n v="42"/>
    <x v="0"/>
    <x v="5"/>
    <x v="0"/>
    <s v="Bachelor"/>
    <s v="Single"/>
    <x v="1017"/>
    <x v="17"/>
    <n v="3"/>
    <x v="1"/>
    <x v="0"/>
    <n v="16"/>
    <x v="0"/>
    <x v="1"/>
  </r>
  <r>
    <x v="1019"/>
    <n v="48"/>
    <x v="1"/>
    <x v="3"/>
    <x v="4"/>
    <s v="Diploma"/>
    <s v="Single"/>
    <x v="1018"/>
    <x v="3"/>
    <n v="1"/>
    <x v="0"/>
    <x v="3"/>
    <n v="51"/>
    <x v="0"/>
    <x v="2"/>
  </r>
  <r>
    <x v="1020"/>
    <n v="27"/>
    <x v="0"/>
    <x v="3"/>
    <x v="4"/>
    <s v="Master"/>
    <s v="Single"/>
    <x v="1019"/>
    <x v="2"/>
    <n v="2"/>
    <x v="0"/>
    <x v="1"/>
    <n v="71"/>
    <x v="0"/>
    <x v="2"/>
  </r>
  <r>
    <x v="1021"/>
    <n v="21"/>
    <x v="0"/>
    <x v="3"/>
    <x v="4"/>
    <s v="Bachelor"/>
    <s v="Married"/>
    <x v="1020"/>
    <x v="18"/>
    <n v="7"/>
    <x v="1"/>
    <x v="2"/>
    <n v="69"/>
    <x v="1"/>
    <x v="3"/>
  </r>
  <r>
    <x v="1022"/>
    <n v="52"/>
    <x v="1"/>
    <x v="3"/>
    <x v="0"/>
    <s v="Master"/>
    <s v="Married"/>
    <x v="1021"/>
    <x v="9"/>
    <n v="7"/>
    <x v="1"/>
    <x v="1"/>
    <n v="31"/>
    <x v="0"/>
    <x v="0"/>
  </r>
  <r>
    <x v="1023"/>
    <n v="33"/>
    <x v="1"/>
    <x v="2"/>
    <x v="2"/>
    <s v="MBA"/>
    <s v="Married"/>
    <x v="1022"/>
    <x v="15"/>
    <n v="5"/>
    <x v="1"/>
    <x v="1"/>
    <n v="52"/>
    <x v="1"/>
    <x v="2"/>
  </r>
  <r>
    <x v="1024"/>
    <n v="50"/>
    <x v="0"/>
    <x v="3"/>
    <x v="3"/>
    <s v="Master"/>
    <s v="Single"/>
    <x v="577"/>
    <x v="8"/>
    <n v="9"/>
    <x v="1"/>
    <x v="2"/>
    <n v="92"/>
    <x v="1"/>
    <x v="2"/>
  </r>
  <r>
    <x v="1025"/>
    <n v="43"/>
    <x v="0"/>
    <x v="1"/>
    <x v="4"/>
    <s v="Master"/>
    <s v="Married"/>
    <x v="1023"/>
    <x v="19"/>
    <n v="8"/>
    <x v="1"/>
    <x v="3"/>
    <n v="66"/>
    <x v="1"/>
    <x v="4"/>
  </r>
  <r>
    <x v="1026"/>
    <n v="39"/>
    <x v="1"/>
    <x v="5"/>
    <x v="2"/>
    <s v="MBA"/>
    <s v="Married"/>
    <x v="1024"/>
    <x v="6"/>
    <n v="8"/>
    <x v="1"/>
    <x v="0"/>
    <n v="48"/>
    <x v="1"/>
    <x v="2"/>
  </r>
  <r>
    <x v="1027"/>
    <n v="52"/>
    <x v="1"/>
    <x v="2"/>
    <x v="1"/>
    <s v="Diploma"/>
    <s v="Married"/>
    <x v="1025"/>
    <x v="6"/>
    <n v="3"/>
    <x v="0"/>
    <x v="0"/>
    <n v="23"/>
    <x v="0"/>
    <x v="0"/>
  </r>
  <r>
    <x v="1028"/>
    <n v="50"/>
    <x v="0"/>
    <x v="3"/>
    <x v="4"/>
    <s v="Bachelor"/>
    <s v="Single"/>
    <x v="1026"/>
    <x v="8"/>
    <n v="0"/>
    <x v="1"/>
    <x v="1"/>
    <n v="63"/>
    <x v="0"/>
    <x v="4"/>
  </r>
  <r>
    <x v="1029"/>
    <n v="49"/>
    <x v="1"/>
    <x v="0"/>
    <x v="3"/>
    <s v="MBA"/>
    <s v="Single"/>
    <x v="1027"/>
    <x v="7"/>
    <n v="0"/>
    <x v="1"/>
    <x v="3"/>
    <n v="12"/>
    <x v="0"/>
    <x v="1"/>
  </r>
  <r>
    <x v="1030"/>
    <n v="49"/>
    <x v="0"/>
    <x v="0"/>
    <x v="1"/>
    <s v="Master"/>
    <s v="Married"/>
    <x v="1028"/>
    <x v="19"/>
    <n v="9"/>
    <x v="0"/>
    <x v="0"/>
    <n v="59"/>
    <x v="0"/>
    <x v="1"/>
  </r>
  <r>
    <x v="1031"/>
    <n v="50"/>
    <x v="0"/>
    <x v="5"/>
    <x v="1"/>
    <s v="Bachelor"/>
    <s v="Single"/>
    <x v="1029"/>
    <x v="15"/>
    <n v="4"/>
    <x v="1"/>
    <x v="3"/>
    <n v="51"/>
    <x v="0"/>
    <x v="4"/>
  </r>
  <r>
    <x v="1032"/>
    <n v="36"/>
    <x v="0"/>
    <x v="4"/>
    <x v="3"/>
    <s v="MBA"/>
    <s v="Single"/>
    <x v="1030"/>
    <x v="16"/>
    <n v="1"/>
    <x v="0"/>
    <x v="2"/>
    <n v="6"/>
    <x v="1"/>
    <x v="4"/>
  </r>
  <r>
    <x v="1033"/>
    <n v="39"/>
    <x v="0"/>
    <x v="4"/>
    <x v="4"/>
    <s v="Bachelor"/>
    <s v="Married"/>
    <x v="1031"/>
    <x v="5"/>
    <n v="5"/>
    <x v="1"/>
    <x v="1"/>
    <n v="98"/>
    <x v="0"/>
    <x v="4"/>
  </r>
  <r>
    <x v="1034"/>
    <n v="38"/>
    <x v="1"/>
    <x v="2"/>
    <x v="0"/>
    <s v="Bachelor"/>
    <s v="Single"/>
    <x v="1032"/>
    <x v="8"/>
    <n v="6"/>
    <x v="1"/>
    <x v="1"/>
    <n v="98"/>
    <x v="1"/>
    <x v="3"/>
  </r>
  <r>
    <x v="1035"/>
    <n v="21"/>
    <x v="1"/>
    <x v="2"/>
    <x v="3"/>
    <s v="MBA"/>
    <s v="Single"/>
    <x v="1033"/>
    <x v="5"/>
    <n v="0"/>
    <x v="0"/>
    <x v="3"/>
    <n v="43"/>
    <x v="1"/>
    <x v="0"/>
  </r>
  <r>
    <x v="1036"/>
    <n v="34"/>
    <x v="1"/>
    <x v="2"/>
    <x v="3"/>
    <s v="Bachelor"/>
    <s v="Married"/>
    <x v="1034"/>
    <x v="18"/>
    <n v="5"/>
    <x v="1"/>
    <x v="0"/>
    <n v="49"/>
    <x v="1"/>
    <x v="0"/>
  </r>
  <r>
    <x v="1037"/>
    <n v="22"/>
    <x v="1"/>
    <x v="4"/>
    <x v="3"/>
    <s v="Diploma"/>
    <s v="Single"/>
    <x v="1035"/>
    <x v="7"/>
    <n v="7"/>
    <x v="0"/>
    <x v="3"/>
    <n v="36"/>
    <x v="0"/>
    <x v="1"/>
  </r>
  <r>
    <x v="1038"/>
    <n v="48"/>
    <x v="1"/>
    <x v="0"/>
    <x v="1"/>
    <s v="MBA"/>
    <s v="Single"/>
    <x v="1036"/>
    <x v="0"/>
    <n v="4"/>
    <x v="1"/>
    <x v="2"/>
    <n v="69"/>
    <x v="1"/>
    <x v="1"/>
  </r>
  <r>
    <x v="1039"/>
    <n v="50"/>
    <x v="1"/>
    <x v="4"/>
    <x v="2"/>
    <s v="Diploma"/>
    <s v="Single"/>
    <x v="1037"/>
    <x v="9"/>
    <n v="6"/>
    <x v="1"/>
    <x v="0"/>
    <n v="42"/>
    <x v="1"/>
    <x v="1"/>
  </r>
  <r>
    <x v="1040"/>
    <n v="58"/>
    <x v="1"/>
    <x v="1"/>
    <x v="0"/>
    <s v="Master"/>
    <s v="Single"/>
    <x v="1038"/>
    <x v="19"/>
    <n v="9"/>
    <x v="0"/>
    <x v="0"/>
    <n v="81"/>
    <x v="0"/>
    <x v="2"/>
  </r>
  <r>
    <x v="1041"/>
    <n v="24"/>
    <x v="0"/>
    <x v="3"/>
    <x v="4"/>
    <s v="Bachelor"/>
    <s v="Single"/>
    <x v="1039"/>
    <x v="16"/>
    <n v="5"/>
    <x v="1"/>
    <x v="3"/>
    <n v="15"/>
    <x v="1"/>
    <x v="1"/>
  </r>
  <r>
    <x v="1042"/>
    <n v="21"/>
    <x v="1"/>
    <x v="2"/>
    <x v="4"/>
    <s v="Master"/>
    <s v="Single"/>
    <x v="1040"/>
    <x v="14"/>
    <n v="3"/>
    <x v="1"/>
    <x v="2"/>
    <n v="14"/>
    <x v="1"/>
    <x v="4"/>
  </r>
  <r>
    <x v="1043"/>
    <n v="28"/>
    <x v="1"/>
    <x v="0"/>
    <x v="2"/>
    <s v="Master"/>
    <s v="Single"/>
    <x v="1041"/>
    <x v="19"/>
    <n v="6"/>
    <x v="0"/>
    <x v="0"/>
    <n v="63"/>
    <x v="1"/>
    <x v="1"/>
  </r>
  <r>
    <x v="1044"/>
    <n v="49"/>
    <x v="0"/>
    <x v="5"/>
    <x v="3"/>
    <s v="Bachelor"/>
    <s v="Single"/>
    <x v="1042"/>
    <x v="6"/>
    <n v="9"/>
    <x v="1"/>
    <x v="1"/>
    <n v="94"/>
    <x v="0"/>
    <x v="4"/>
  </r>
  <r>
    <x v="1045"/>
    <n v="59"/>
    <x v="1"/>
    <x v="5"/>
    <x v="0"/>
    <s v="MBA"/>
    <s v="Married"/>
    <x v="1043"/>
    <x v="7"/>
    <n v="8"/>
    <x v="0"/>
    <x v="2"/>
    <n v="59"/>
    <x v="1"/>
    <x v="3"/>
  </r>
  <r>
    <x v="1046"/>
    <n v="23"/>
    <x v="1"/>
    <x v="3"/>
    <x v="4"/>
    <s v="Bachelor"/>
    <s v="Married"/>
    <x v="1044"/>
    <x v="7"/>
    <n v="9"/>
    <x v="1"/>
    <x v="0"/>
    <n v="24"/>
    <x v="1"/>
    <x v="2"/>
  </r>
  <r>
    <x v="1047"/>
    <n v="52"/>
    <x v="0"/>
    <x v="0"/>
    <x v="4"/>
    <s v="Master"/>
    <s v="Married"/>
    <x v="1045"/>
    <x v="4"/>
    <n v="9"/>
    <x v="0"/>
    <x v="3"/>
    <n v="85"/>
    <x v="0"/>
    <x v="2"/>
  </r>
  <r>
    <x v="1048"/>
    <n v="30"/>
    <x v="1"/>
    <x v="4"/>
    <x v="3"/>
    <s v="Master"/>
    <s v="Married"/>
    <x v="1046"/>
    <x v="12"/>
    <n v="6"/>
    <x v="1"/>
    <x v="0"/>
    <n v="21"/>
    <x v="0"/>
    <x v="0"/>
  </r>
  <r>
    <x v="1049"/>
    <n v="30"/>
    <x v="1"/>
    <x v="4"/>
    <x v="2"/>
    <s v="MBA"/>
    <s v="Single"/>
    <x v="1047"/>
    <x v="11"/>
    <n v="4"/>
    <x v="0"/>
    <x v="1"/>
    <n v="72"/>
    <x v="1"/>
    <x v="3"/>
  </r>
  <r>
    <x v="1050"/>
    <n v="39"/>
    <x v="1"/>
    <x v="1"/>
    <x v="0"/>
    <s v="Bachelor"/>
    <s v="Married"/>
    <x v="1048"/>
    <x v="13"/>
    <n v="6"/>
    <x v="0"/>
    <x v="2"/>
    <n v="9"/>
    <x v="0"/>
    <x v="4"/>
  </r>
  <r>
    <x v="1051"/>
    <n v="54"/>
    <x v="0"/>
    <x v="1"/>
    <x v="2"/>
    <s v="Master"/>
    <s v="Married"/>
    <x v="1049"/>
    <x v="11"/>
    <n v="2"/>
    <x v="1"/>
    <x v="0"/>
    <n v="64"/>
    <x v="0"/>
    <x v="3"/>
  </r>
  <r>
    <x v="1052"/>
    <n v="53"/>
    <x v="1"/>
    <x v="4"/>
    <x v="2"/>
    <s v="Diploma"/>
    <s v="Single"/>
    <x v="1050"/>
    <x v="19"/>
    <n v="1"/>
    <x v="1"/>
    <x v="1"/>
    <n v="27"/>
    <x v="0"/>
    <x v="2"/>
  </r>
  <r>
    <x v="1053"/>
    <n v="43"/>
    <x v="1"/>
    <x v="5"/>
    <x v="0"/>
    <s v="Master"/>
    <s v="Single"/>
    <x v="1051"/>
    <x v="15"/>
    <n v="4"/>
    <x v="0"/>
    <x v="0"/>
    <n v="50"/>
    <x v="0"/>
    <x v="4"/>
  </r>
  <r>
    <x v="1054"/>
    <n v="48"/>
    <x v="0"/>
    <x v="2"/>
    <x v="0"/>
    <s v="Master"/>
    <s v="Single"/>
    <x v="1052"/>
    <x v="15"/>
    <n v="3"/>
    <x v="1"/>
    <x v="0"/>
    <n v="56"/>
    <x v="0"/>
    <x v="3"/>
  </r>
  <r>
    <x v="1055"/>
    <n v="52"/>
    <x v="1"/>
    <x v="5"/>
    <x v="4"/>
    <s v="MBA"/>
    <s v="Single"/>
    <x v="1053"/>
    <x v="11"/>
    <n v="4"/>
    <x v="0"/>
    <x v="2"/>
    <n v="14"/>
    <x v="0"/>
    <x v="2"/>
  </r>
  <r>
    <x v="1056"/>
    <n v="27"/>
    <x v="0"/>
    <x v="1"/>
    <x v="4"/>
    <s v="Diploma"/>
    <s v="Single"/>
    <x v="1054"/>
    <x v="2"/>
    <n v="7"/>
    <x v="1"/>
    <x v="3"/>
    <n v="50"/>
    <x v="0"/>
    <x v="4"/>
  </r>
  <r>
    <x v="1057"/>
    <n v="49"/>
    <x v="0"/>
    <x v="3"/>
    <x v="0"/>
    <s v="Master"/>
    <s v="Married"/>
    <x v="1055"/>
    <x v="4"/>
    <n v="3"/>
    <x v="1"/>
    <x v="3"/>
    <n v="32"/>
    <x v="1"/>
    <x v="4"/>
  </r>
  <r>
    <x v="1058"/>
    <n v="28"/>
    <x v="1"/>
    <x v="4"/>
    <x v="1"/>
    <s v="Master"/>
    <s v="Single"/>
    <x v="1056"/>
    <x v="19"/>
    <n v="8"/>
    <x v="0"/>
    <x v="1"/>
    <n v="47"/>
    <x v="0"/>
    <x v="2"/>
  </r>
  <r>
    <x v="1059"/>
    <n v="21"/>
    <x v="0"/>
    <x v="1"/>
    <x v="4"/>
    <s v="Diploma"/>
    <s v="Married"/>
    <x v="1057"/>
    <x v="2"/>
    <n v="6"/>
    <x v="0"/>
    <x v="1"/>
    <n v="30"/>
    <x v="0"/>
    <x v="4"/>
  </r>
  <r>
    <x v="1060"/>
    <n v="23"/>
    <x v="0"/>
    <x v="1"/>
    <x v="1"/>
    <s v="Bachelor"/>
    <s v="Married"/>
    <x v="1058"/>
    <x v="12"/>
    <n v="9"/>
    <x v="1"/>
    <x v="1"/>
    <n v="59"/>
    <x v="0"/>
    <x v="2"/>
  </r>
  <r>
    <x v="1061"/>
    <n v="44"/>
    <x v="1"/>
    <x v="2"/>
    <x v="0"/>
    <s v="Bachelor"/>
    <s v="Single"/>
    <x v="1059"/>
    <x v="19"/>
    <n v="6"/>
    <x v="1"/>
    <x v="2"/>
    <n v="52"/>
    <x v="1"/>
    <x v="1"/>
  </r>
  <r>
    <x v="1062"/>
    <n v="43"/>
    <x v="0"/>
    <x v="4"/>
    <x v="4"/>
    <s v="Master"/>
    <s v="Married"/>
    <x v="1060"/>
    <x v="8"/>
    <n v="7"/>
    <x v="1"/>
    <x v="3"/>
    <n v="33"/>
    <x v="0"/>
    <x v="1"/>
  </r>
  <r>
    <x v="1063"/>
    <n v="28"/>
    <x v="0"/>
    <x v="2"/>
    <x v="2"/>
    <s v="Master"/>
    <s v="Married"/>
    <x v="1061"/>
    <x v="9"/>
    <n v="5"/>
    <x v="1"/>
    <x v="1"/>
    <n v="31"/>
    <x v="0"/>
    <x v="4"/>
  </r>
  <r>
    <x v="1064"/>
    <n v="57"/>
    <x v="1"/>
    <x v="4"/>
    <x v="0"/>
    <s v="Bachelor"/>
    <s v="Single"/>
    <x v="1062"/>
    <x v="3"/>
    <n v="7"/>
    <x v="1"/>
    <x v="1"/>
    <n v="22"/>
    <x v="1"/>
    <x v="4"/>
  </r>
  <r>
    <x v="1065"/>
    <n v="23"/>
    <x v="1"/>
    <x v="2"/>
    <x v="3"/>
    <s v="MBA"/>
    <s v="Married"/>
    <x v="1063"/>
    <x v="5"/>
    <n v="2"/>
    <x v="0"/>
    <x v="0"/>
    <n v="64"/>
    <x v="0"/>
    <x v="2"/>
  </r>
  <r>
    <x v="1066"/>
    <n v="53"/>
    <x v="1"/>
    <x v="5"/>
    <x v="1"/>
    <s v="Diploma"/>
    <s v="Married"/>
    <x v="1064"/>
    <x v="15"/>
    <n v="9"/>
    <x v="1"/>
    <x v="0"/>
    <n v="78"/>
    <x v="1"/>
    <x v="4"/>
  </r>
  <r>
    <x v="1067"/>
    <n v="48"/>
    <x v="0"/>
    <x v="3"/>
    <x v="0"/>
    <s v="Diploma"/>
    <s v="Married"/>
    <x v="1065"/>
    <x v="7"/>
    <n v="9"/>
    <x v="1"/>
    <x v="1"/>
    <n v="73"/>
    <x v="1"/>
    <x v="0"/>
  </r>
  <r>
    <x v="1068"/>
    <n v="28"/>
    <x v="1"/>
    <x v="3"/>
    <x v="0"/>
    <s v="MBA"/>
    <s v="Single"/>
    <x v="1066"/>
    <x v="10"/>
    <n v="0"/>
    <x v="0"/>
    <x v="0"/>
    <n v="78"/>
    <x v="0"/>
    <x v="1"/>
  </r>
  <r>
    <x v="1069"/>
    <n v="54"/>
    <x v="0"/>
    <x v="4"/>
    <x v="4"/>
    <s v="MBA"/>
    <s v="Single"/>
    <x v="1067"/>
    <x v="6"/>
    <n v="5"/>
    <x v="0"/>
    <x v="0"/>
    <n v="25"/>
    <x v="1"/>
    <x v="4"/>
  </r>
  <r>
    <x v="1070"/>
    <n v="55"/>
    <x v="0"/>
    <x v="0"/>
    <x v="4"/>
    <s v="MBA"/>
    <s v="Single"/>
    <x v="1068"/>
    <x v="18"/>
    <n v="0"/>
    <x v="0"/>
    <x v="0"/>
    <n v="28"/>
    <x v="0"/>
    <x v="4"/>
  </r>
  <r>
    <x v="1071"/>
    <n v="52"/>
    <x v="0"/>
    <x v="1"/>
    <x v="4"/>
    <s v="MBA"/>
    <s v="Married"/>
    <x v="1069"/>
    <x v="4"/>
    <n v="8"/>
    <x v="1"/>
    <x v="2"/>
    <n v="7"/>
    <x v="0"/>
    <x v="3"/>
  </r>
  <r>
    <x v="1072"/>
    <n v="44"/>
    <x v="0"/>
    <x v="1"/>
    <x v="3"/>
    <s v="MBA"/>
    <s v="Single"/>
    <x v="1070"/>
    <x v="14"/>
    <n v="1"/>
    <x v="0"/>
    <x v="1"/>
    <n v="99"/>
    <x v="1"/>
    <x v="4"/>
  </r>
  <r>
    <x v="1073"/>
    <n v="34"/>
    <x v="0"/>
    <x v="4"/>
    <x v="4"/>
    <s v="MBA"/>
    <s v="Married"/>
    <x v="1071"/>
    <x v="13"/>
    <n v="1"/>
    <x v="0"/>
    <x v="1"/>
    <n v="66"/>
    <x v="1"/>
    <x v="0"/>
  </r>
  <r>
    <x v="1074"/>
    <n v="52"/>
    <x v="0"/>
    <x v="2"/>
    <x v="0"/>
    <s v="Diploma"/>
    <s v="Single"/>
    <x v="1072"/>
    <x v="9"/>
    <n v="6"/>
    <x v="0"/>
    <x v="0"/>
    <n v="6"/>
    <x v="0"/>
    <x v="1"/>
  </r>
  <r>
    <x v="1075"/>
    <n v="36"/>
    <x v="0"/>
    <x v="0"/>
    <x v="4"/>
    <s v="MBA"/>
    <s v="Married"/>
    <x v="1073"/>
    <x v="11"/>
    <n v="1"/>
    <x v="0"/>
    <x v="2"/>
    <n v="70"/>
    <x v="0"/>
    <x v="3"/>
  </r>
  <r>
    <x v="1076"/>
    <n v="24"/>
    <x v="1"/>
    <x v="5"/>
    <x v="2"/>
    <s v="Bachelor"/>
    <s v="Single"/>
    <x v="1074"/>
    <x v="6"/>
    <n v="9"/>
    <x v="1"/>
    <x v="0"/>
    <n v="46"/>
    <x v="1"/>
    <x v="2"/>
  </r>
  <r>
    <x v="1077"/>
    <n v="57"/>
    <x v="1"/>
    <x v="2"/>
    <x v="4"/>
    <s v="MBA"/>
    <s v="Single"/>
    <x v="1075"/>
    <x v="7"/>
    <n v="7"/>
    <x v="1"/>
    <x v="2"/>
    <n v="38"/>
    <x v="0"/>
    <x v="2"/>
  </r>
  <r>
    <x v="1078"/>
    <n v="41"/>
    <x v="0"/>
    <x v="2"/>
    <x v="3"/>
    <s v="MBA"/>
    <s v="Married"/>
    <x v="1076"/>
    <x v="1"/>
    <n v="5"/>
    <x v="1"/>
    <x v="1"/>
    <n v="46"/>
    <x v="0"/>
    <x v="1"/>
  </r>
  <r>
    <x v="1079"/>
    <n v="34"/>
    <x v="0"/>
    <x v="4"/>
    <x v="2"/>
    <s v="Diploma"/>
    <s v="Single"/>
    <x v="1077"/>
    <x v="14"/>
    <n v="6"/>
    <x v="0"/>
    <x v="0"/>
    <n v="24"/>
    <x v="0"/>
    <x v="2"/>
  </r>
  <r>
    <x v="1080"/>
    <n v="51"/>
    <x v="1"/>
    <x v="4"/>
    <x v="0"/>
    <s v="Diploma"/>
    <s v="Married"/>
    <x v="1078"/>
    <x v="9"/>
    <n v="6"/>
    <x v="0"/>
    <x v="1"/>
    <n v="72"/>
    <x v="1"/>
    <x v="0"/>
  </r>
  <r>
    <x v="1081"/>
    <n v="38"/>
    <x v="0"/>
    <x v="1"/>
    <x v="0"/>
    <s v="MBA"/>
    <s v="Single"/>
    <x v="1079"/>
    <x v="17"/>
    <n v="5"/>
    <x v="0"/>
    <x v="2"/>
    <n v="49"/>
    <x v="0"/>
    <x v="4"/>
  </r>
  <r>
    <x v="1082"/>
    <n v="27"/>
    <x v="1"/>
    <x v="4"/>
    <x v="1"/>
    <s v="Diploma"/>
    <s v="Single"/>
    <x v="1080"/>
    <x v="17"/>
    <n v="9"/>
    <x v="0"/>
    <x v="3"/>
    <n v="79"/>
    <x v="0"/>
    <x v="1"/>
  </r>
  <r>
    <x v="1083"/>
    <n v="30"/>
    <x v="1"/>
    <x v="4"/>
    <x v="2"/>
    <s v="Master"/>
    <s v="Married"/>
    <x v="1081"/>
    <x v="19"/>
    <n v="8"/>
    <x v="0"/>
    <x v="2"/>
    <n v="46"/>
    <x v="0"/>
    <x v="3"/>
  </r>
  <r>
    <x v="1084"/>
    <n v="27"/>
    <x v="1"/>
    <x v="4"/>
    <x v="1"/>
    <s v="Diploma"/>
    <s v="Married"/>
    <x v="1082"/>
    <x v="16"/>
    <n v="8"/>
    <x v="0"/>
    <x v="3"/>
    <n v="51"/>
    <x v="1"/>
    <x v="4"/>
  </r>
  <r>
    <x v="1085"/>
    <n v="53"/>
    <x v="0"/>
    <x v="1"/>
    <x v="2"/>
    <s v="Diploma"/>
    <s v="Married"/>
    <x v="1083"/>
    <x v="0"/>
    <n v="6"/>
    <x v="1"/>
    <x v="1"/>
    <n v="9"/>
    <x v="1"/>
    <x v="2"/>
  </r>
  <r>
    <x v="1086"/>
    <n v="43"/>
    <x v="0"/>
    <x v="5"/>
    <x v="2"/>
    <s v="Diploma"/>
    <s v="Single"/>
    <x v="1084"/>
    <x v="4"/>
    <n v="8"/>
    <x v="1"/>
    <x v="1"/>
    <n v="93"/>
    <x v="1"/>
    <x v="2"/>
  </r>
  <r>
    <x v="1087"/>
    <n v="41"/>
    <x v="1"/>
    <x v="5"/>
    <x v="3"/>
    <s v="Diploma"/>
    <s v="Married"/>
    <x v="1085"/>
    <x v="11"/>
    <n v="9"/>
    <x v="0"/>
    <x v="0"/>
    <n v="53"/>
    <x v="0"/>
    <x v="3"/>
  </r>
  <r>
    <x v="1088"/>
    <n v="39"/>
    <x v="1"/>
    <x v="4"/>
    <x v="1"/>
    <s v="Bachelor"/>
    <s v="Single"/>
    <x v="1086"/>
    <x v="15"/>
    <n v="2"/>
    <x v="1"/>
    <x v="3"/>
    <n v="41"/>
    <x v="1"/>
    <x v="0"/>
  </r>
  <r>
    <x v="1089"/>
    <n v="39"/>
    <x v="1"/>
    <x v="1"/>
    <x v="3"/>
    <s v="Bachelor"/>
    <s v="Married"/>
    <x v="1087"/>
    <x v="18"/>
    <n v="2"/>
    <x v="0"/>
    <x v="2"/>
    <n v="38"/>
    <x v="0"/>
    <x v="3"/>
  </r>
  <r>
    <x v="1090"/>
    <n v="56"/>
    <x v="1"/>
    <x v="5"/>
    <x v="2"/>
    <s v="Bachelor"/>
    <s v="Married"/>
    <x v="1088"/>
    <x v="15"/>
    <n v="0"/>
    <x v="0"/>
    <x v="1"/>
    <n v="77"/>
    <x v="1"/>
    <x v="1"/>
  </r>
  <r>
    <x v="1091"/>
    <n v="49"/>
    <x v="1"/>
    <x v="2"/>
    <x v="0"/>
    <s v="MBA"/>
    <s v="Married"/>
    <x v="1089"/>
    <x v="10"/>
    <n v="4"/>
    <x v="1"/>
    <x v="3"/>
    <n v="74"/>
    <x v="0"/>
    <x v="3"/>
  </r>
  <r>
    <x v="1092"/>
    <n v="38"/>
    <x v="0"/>
    <x v="5"/>
    <x v="2"/>
    <s v="MBA"/>
    <s v="Married"/>
    <x v="1090"/>
    <x v="16"/>
    <n v="3"/>
    <x v="0"/>
    <x v="2"/>
    <n v="22"/>
    <x v="1"/>
    <x v="2"/>
  </r>
  <r>
    <x v="1093"/>
    <n v="22"/>
    <x v="1"/>
    <x v="5"/>
    <x v="3"/>
    <s v="Master"/>
    <s v="Married"/>
    <x v="1091"/>
    <x v="16"/>
    <n v="1"/>
    <x v="1"/>
    <x v="3"/>
    <n v="82"/>
    <x v="0"/>
    <x v="0"/>
  </r>
  <r>
    <x v="1094"/>
    <n v="21"/>
    <x v="0"/>
    <x v="1"/>
    <x v="1"/>
    <s v="Bachelor"/>
    <s v="Married"/>
    <x v="1092"/>
    <x v="8"/>
    <n v="8"/>
    <x v="0"/>
    <x v="2"/>
    <n v="23"/>
    <x v="0"/>
    <x v="0"/>
  </r>
  <r>
    <x v="1095"/>
    <n v="25"/>
    <x v="1"/>
    <x v="2"/>
    <x v="1"/>
    <s v="MBA"/>
    <s v="Single"/>
    <x v="1093"/>
    <x v="17"/>
    <n v="2"/>
    <x v="0"/>
    <x v="2"/>
    <n v="82"/>
    <x v="1"/>
    <x v="3"/>
  </r>
  <r>
    <x v="1096"/>
    <n v="40"/>
    <x v="0"/>
    <x v="1"/>
    <x v="3"/>
    <s v="Diploma"/>
    <s v="Married"/>
    <x v="1094"/>
    <x v="2"/>
    <n v="7"/>
    <x v="1"/>
    <x v="2"/>
    <n v="44"/>
    <x v="0"/>
    <x v="1"/>
  </r>
  <r>
    <x v="1097"/>
    <n v="31"/>
    <x v="0"/>
    <x v="4"/>
    <x v="1"/>
    <s v="Diploma"/>
    <s v="Single"/>
    <x v="1095"/>
    <x v="4"/>
    <n v="5"/>
    <x v="0"/>
    <x v="2"/>
    <n v="21"/>
    <x v="1"/>
    <x v="2"/>
  </r>
  <r>
    <x v="1098"/>
    <n v="22"/>
    <x v="0"/>
    <x v="3"/>
    <x v="4"/>
    <s v="Bachelor"/>
    <s v="Married"/>
    <x v="1096"/>
    <x v="15"/>
    <n v="4"/>
    <x v="0"/>
    <x v="3"/>
    <n v="64"/>
    <x v="1"/>
    <x v="4"/>
  </r>
  <r>
    <x v="1099"/>
    <n v="23"/>
    <x v="0"/>
    <x v="5"/>
    <x v="0"/>
    <s v="Master"/>
    <s v="Married"/>
    <x v="1097"/>
    <x v="17"/>
    <n v="0"/>
    <x v="0"/>
    <x v="3"/>
    <n v="97"/>
    <x v="0"/>
    <x v="0"/>
  </r>
  <r>
    <x v="1100"/>
    <n v="43"/>
    <x v="0"/>
    <x v="3"/>
    <x v="0"/>
    <s v="Master"/>
    <s v="Married"/>
    <x v="1098"/>
    <x v="4"/>
    <n v="3"/>
    <x v="1"/>
    <x v="0"/>
    <n v="46"/>
    <x v="0"/>
    <x v="3"/>
  </r>
  <r>
    <x v="1101"/>
    <n v="32"/>
    <x v="0"/>
    <x v="1"/>
    <x v="0"/>
    <s v="Diploma"/>
    <s v="Single"/>
    <x v="1099"/>
    <x v="0"/>
    <n v="2"/>
    <x v="0"/>
    <x v="3"/>
    <n v="85"/>
    <x v="1"/>
    <x v="1"/>
  </r>
  <r>
    <x v="1102"/>
    <n v="40"/>
    <x v="1"/>
    <x v="1"/>
    <x v="1"/>
    <s v="Master"/>
    <s v="Single"/>
    <x v="1100"/>
    <x v="9"/>
    <n v="0"/>
    <x v="0"/>
    <x v="3"/>
    <n v="76"/>
    <x v="1"/>
    <x v="1"/>
  </r>
  <r>
    <x v="1103"/>
    <n v="25"/>
    <x v="0"/>
    <x v="1"/>
    <x v="1"/>
    <s v="Bachelor"/>
    <s v="Married"/>
    <x v="1101"/>
    <x v="0"/>
    <n v="4"/>
    <x v="0"/>
    <x v="0"/>
    <n v="69"/>
    <x v="1"/>
    <x v="2"/>
  </r>
  <r>
    <x v="1104"/>
    <n v="57"/>
    <x v="1"/>
    <x v="3"/>
    <x v="2"/>
    <s v="Diploma"/>
    <s v="Single"/>
    <x v="1102"/>
    <x v="7"/>
    <n v="5"/>
    <x v="1"/>
    <x v="3"/>
    <n v="57"/>
    <x v="0"/>
    <x v="0"/>
  </r>
  <r>
    <x v="1105"/>
    <n v="58"/>
    <x v="0"/>
    <x v="1"/>
    <x v="2"/>
    <s v="MBA"/>
    <s v="Married"/>
    <x v="1103"/>
    <x v="6"/>
    <n v="1"/>
    <x v="1"/>
    <x v="2"/>
    <n v="11"/>
    <x v="1"/>
    <x v="2"/>
  </r>
  <r>
    <x v="1106"/>
    <n v="50"/>
    <x v="0"/>
    <x v="4"/>
    <x v="0"/>
    <s v="MBA"/>
    <s v="Married"/>
    <x v="1104"/>
    <x v="0"/>
    <n v="2"/>
    <x v="1"/>
    <x v="1"/>
    <n v="9"/>
    <x v="0"/>
    <x v="4"/>
  </r>
  <r>
    <x v="1107"/>
    <n v="29"/>
    <x v="1"/>
    <x v="1"/>
    <x v="4"/>
    <s v="Master"/>
    <s v="Single"/>
    <x v="1105"/>
    <x v="16"/>
    <n v="5"/>
    <x v="1"/>
    <x v="1"/>
    <n v="28"/>
    <x v="0"/>
    <x v="4"/>
  </r>
  <r>
    <x v="1108"/>
    <n v="54"/>
    <x v="0"/>
    <x v="0"/>
    <x v="2"/>
    <s v="Diploma"/>
    <s v="Single"/>
    <x v="1106"/>
    <x v="14"/>
    <n v="3"/>
    <x v="1"/>
    <x v="0"/>
    <n v="32"/>
    <x v="1"/>
    <x v="4"/>
  </r>
  <r>
    <x v="1109"/>
    <n v="55"/>
    <x v="1"/>
    <x v="3"/>
    <x v="2"/>
    <s v="Diploma"/>
    <s v="Single"/>
    <x v="1107"/>
    <x v="8"/>
    <n v="8"/>
    <x v="0"/>
    <x v="3"/>
    <n v="66"/>
    <x v="1"/>
    <x v="1"/>
  </r>
  <r>
    <x v="1110"/>
    <n v="42"/>
    <x v="1"/>
    <x v="0"/>
    <x v="1"/>
    <s v="MBA"/>
    <s v="Single"/>
    <x v="1108"/>
    <x v="8"/>
    <n v="4"/>
    <x v="1"/>
    <x v="3"/>
    <n v="21"/>
    <x v="0"/>
    <x v="0"/>
  </r>
  <r>
    <x v="1111"/>
    <n v="44"/>
    <x v="1"/>
    <x v="1"/>
    <x v="4"/>
    <s v="Diploma"/>
    <s v="Married"/>
    <x v="1109"/>
    <x v="19"/>
    <n v="3"/>
    <x v="1"/>
    <x v="0"/>
    <n v="24"/>
    <x v="0"/>
    <x v="2"/>
  </r>
  <r>
    <x v="1112"/>
    <n v="37"/>
    <x v="1"/>
    <x v="4"/>
    <x v="0"/>
    <s v="Diploma"/>
    <s v="Single"/>
    <x v="1110"/>
    <x v="1"/>
    <n v="1"/>
    <x v="0"/>
    <x v="1"/>
    <n v="7"/>
    <x v="0"/>
    <x v="2"/>
  </r>
  <r>
    <x v="1113"/>
    <n v="30"/>
    <x v="0"/>
    <x v="5"/>
    <x v="2"/>
    <s v="Diploma"/>
    <s v="Single"/>
    <x v="1111"/>
    <x v="7"/>
    <n v="5"/>
    <x v="1"/>
    <x v="2"/>
    <n v="41"/>
    <x v="0"/>
    <x v="4"/>
  </r>
  <r>
    <x v="1114"/>
    <n v="50"/>
    <x v="0"/>
    <x v="2"/>
    <x v="4"/>
    <s v="Master"/>
    <s v="Married"/>
    <x v="1112"/>
    <x v="15"/>
    <n v="9"/>
    <x v="0"/>
    <x v="3"/>
    <n v="94"/>
    <x v="1"/>
    <x v="0"/>
  </r>
  <r>
    <x v="1115"/>
    <n v="43"/>
    <x v="1"/>
    <x v="2"/>
    <x v="4"/>
    <s v="Diploma"/>
    <s v="Single"/>
    <x v="1113"/>
    <x v="15"/>
    <n v="1"/>
    <x v="1"/>
    <x v="0"/>
    <n v="19"/>
    <x v="0"/>
    <x v="0"/>
  </r>
  <r>
    <x v="1116"/>
    <n v="52"/>
    <x v="0"/>
    <x v="1"/>
    <x v="0"/>
    <s v="Bachelor"/>
    <s v="Single"/>
    <x v="1114"/>
    <x v="19"/>
    <n v="6"/>
    <x v="0"/>
    <x v="2"/>
    <n v="55"/>
    <x v="1"/>
    <x v="3"/>
  </r>
  <r>
    <x v="1117"/>
    <n v="37"/>
    <x v="0"/>
    <x v="4"/>
    <x v="4"/>
    <s v="Master"/>
    <s v="Single"/>
    <x v="1115"/>
    <x v="14"/>
    <n v="2"/>
    <x v="0"/>
    <x v="0"/>
    <n v="52"/>
    <x v="1"/>
    <x v="0"/>
  </r>
  <r>
    <x v="1118"/>
    <n v="37"/>
    <x v="1"/>
    <x v="3"/>
    <x v="4"/>
    <s v="Diploma"/>
    <s v="Single"/>
    <x v="1116"/>
    <x v="2"/>
    <n v="8"/>
    <x v="1"/>
    <x v="0"/>
    <n v="12"/>
    <x v="1"/>
    <x v="0"/>
  </r>
  <r>
    <x v="1119"/>
    <n v="34"/>
    <x v="0"/>
    <x v="0"/>
    <x v="4"/>
    <s v="Diploma"/>
    <s v="Married"/>
    <x v="1117"/>
    <x v="16"/>
    <n v="4"/>
    <x v="1"/>
    <x v="0"/>
    <n v="17"/>
    <x v="0"/>
    <x v="2"/>
  </r>
  <r>
    <x v="1120"/>
    <n v="29"/>
    <x v="1"/>
    <x v="0"/>
    <x v="2"/>
    <s v="Bachelor"/>
    <s v="Married"/>
    <x v="1118"/>
    <x v="19"/>
    <n v="7"/>
    <x v="0"/>
    <x v="1"/>
    <n v="52"/>
    <x v="0"/>
    <x v="0"/>
  </r>
  <r>
    <x v="1121"/>
    <n v="22"/>
    <x v="1"/>
    <x v="0"/>
    <x v="0"/>
    <s v="Master"/>
    <s v="Single"/>
    <x v="1119"/>
    <x v="12"/>
    <n v="5"/>
    <x v="0"/>
    <x v="1"/>
    <n v="7"/>
    <x v="1"/>
    <x v="0"/>
  </r>
  <r>
    <x v="1122"/>
    <n v="45"/>
    <x v="0"/>
    <x v="3"/>
    <x v="4"/>
    <s v="MBA"/>
    <s v="Single"/>
    <x v="1120"/>
    <x v="11"/>
    <n v="9"/>
    <x v="0"/>
    <x v="0"/>
    <n v="69"/>
    <x v="1"/>
    <x v="2"/>
  </r>
  <r>
    <x v="1123"/>
    <n v="59"/>
    <x v="0"/>
    <x v="2"/>
    <x v="4"/>
    <s v="MBA"/>
    <s v="Married"/>
    <x v="1121"/>
    <x v="5"/>
    <n v="7"/>
    <x v="0"/>
    <x v="3"/>
    <n v="77"/>
    <x v="1"/>
    <x v="0"/>
  </r>
  <r>
    <x v="1124"/>
    <n v="29"/>
    <x v="0"/>
    <x v="4"/>
    <x v="2"/>
    <s v="Master"/>
    <s v="Single"/>
    <x v="1122"/>
    <x v="12"/>
    <n v="2"/>
    <x v="0"/>
    <x v="2"/>
    <n v="35"/>
    <x v="1"/>
    <x v="2"/>
  </r>
  <r>
    <x v="1125"/>
    <n v="42"/>
    <x v="1"/>
    <x v="3"/>
    <x v="0"/>
    <s v="Diploma"/>
    <s v="Single"/>
    <x v="1123"/>
    <x v="7"/>
    <n v="2"/>
    <x v="0"/>
    <x v="3"/>
    <n v="30"/>
    <x v="0"/>
    <x v="3"/>
  </r>
  <r>
    <x v="1126"/>
    <n v="24"/>
    <x v="1"/>
    <x v="0"/>
    <x v="1"/>
    <s v="Diploma"/>
    <s v="Single"/>
    <x v="1124"/>
    <x v="4"/>
    <n v="4"/>
    <x v="0"/>
    <x v="1"/>
    <n v="85"/>
    <x v="1"/>
    <x v="1"/>
  </r>
  <r>
    <x v="1127"/>
    <n v="46"/>
    <x v="0"/>
    <x v="1"/>
    <x v="2"/>
    <s v="MBA"/>
    <s v="Single"/>
    <x v="1125"/>
    <x v="7"/>
    <n v="9"/>
    <x v="1"/>
    <x v="2"/>
    <n v="60"/>
    <x v="0"/>
    <x v="2"/>
  </r>
  <r>
    <x v="1128"/>
    <n v="49"/>
    <x v="0"/>
    <x v="5"/>
    <x v="0"/>
    <s v="MBA"/>
    <s v="Single"/>
    <x v="1126"/>
    <x v="14"/>
    <n v="2"/>
    <x v="0"/>
    <x v="0"/>
    <n v="38"/>
    <x v="0"/>
    <x v="2"/>
  </r>
  <r>
    <x v="1129"/>
    <n v="54"/>
    <x v="0"/>
    <x v="3"/>
    <x v="4"/>
    <s v="MBA"/>
    <s v="Single"/>
    <x v="1127"/>
    <x v="12"/>
    <n v="7"/>
    <x v="1"/>
    <x v="3"/>
    <n v="13"/>
    <x v="0"/>
    <x v="0"/>
  </r>
  <r>
    <x v="1130"/>
    <n v="43"/>
    <x v="0"/>
    <x v="3"/>
    <x v="0"/>
    <s v="Bachelor"/>
    <s v="Single"/>
    <x v="1128"/>
    <x v="10"/>
    <n v="9"/>
    <x v="1"/>
    <x v="3"/>
    <n v="66"/>
    <x v="0"/>
    <x v="2"/>
  </r>
  <r>
    <x v="1131"/>
    <n v="57"/>
    <x v="1"/>
    <x v="4"/>
    <x v="0"/>
    <s v="MBA"/>
    <s v="Single"/>
    <x v="1129"/>
    <x v="14"/>
    <n v="7"/>
    <x v="0"/>
    <x v="0"/>
    <n v="17"/>
    <x v="1"/>
    <x v="4"/>
  </r>
  <r>
    <x v="1132"/>
    <n v="31"/>
    <x v="0"/>
    <x v="4"/>
    <x v="0"/>
    <s v="Bachelor"/>
    <s v="Single"/>
    <x v="1130"/>
    <x v="18"/>
    <n v="1"/>
    <x v="0"/>
    <x v="3"/>
    <n v="73"/>
    <x v="0"/>
    <x v="4"/>
  </r>
  <r>
    <x v="1133"/>
    <n v="26"/>
    <x v="1"/>
    <x v="3"/>
    <x v="1"/>
    <s v="Master"/>
    <s v="Married"/>
    <x v="1131"/>
    <x v="18"/>
    <n v="3"/>
    <x v="1"/>
    <x v="1"/>
    <n v="45"/>
    <x v="1"/>
    <x v="3"/>
  </r>
  <r>
    <x v="1134"/>
    <n v="38"/>
    <x v="1"/>
    <x v="0"/>
    <x v="0"/>
    <s v="Diploma"/>
    <s v="Married"/>
    <x v="1132"/>
    <x v="6"/>
    <n v="9"/>
    <x v="0"/>
    <x v="0"/>
    <n v="81"/>
    <x v="0"/>
    <x v="2"/>
  </r>
  <r>
    <x v="1135"/>
    <n v="41"/>
    <x v="0"/>
    <x v="5"/>
    <x v="1"/>
    <s v="MBA"/>
    <s v="Married"/>
    <x v="1133"/>
    <x v="1"/>
    <n v="0"/>
    <x v="0"/>
    <x v="3"/>
    <n v="5"/>
    <x v="1"/>
    <x v="0"/>
  </r>
  <r>
    <x v="1136"/>
    <n v="56"/>
    <x v="0"/>
    <x v="4"/>
    <x v="4"/>
    <s v="Diploma"/>
    <s v="Single"/>
    <x v="1134"/>
    <x v="17"/>
    <n v="3"/>
    <x v="1"/>
    <x v="0"/>
    <n v="93"/>
    <x v="1"/>
    <x v="0"/>
  </r>
  <r>
    <x v="1137"/>
    <n v="58"/>
    <x v="0"/>
    <x v="0"/>
    <x v="1"/>
    <s v="Diploma"/>
    <s v="Single"/>
    <x v="1135"/>
    <x v="16"/>
    <n v="3"/>
    <x v="1"/>
    <x v="2"/>
    <n v="51"/>
    <x v="1"/>
    <x v="1"/>
  </r>
  <r>
    <x v="1138"/>
    <n v="54"/>
    <x v="1"/>
    <x v="1"/>
    <x v="4"/>
    <s v="MBA"/>
    <s v="Married"/>
    <x v="1136"/>
    <x v="14"/>
    <n v="9"/>
    <x v="1"/>
    <x v="0"/>
    <n v="8"/>
    <x v="1"/>
    <x v="3"/>
  </r>
  <r>
    <x v="1139"/>
    <n v="37"/>
    <x v="0"/>
    <x v="4"/>
    <x v="4"/>
    <s v="MBA"/>
    <s v="Single"/>
    <x v="1137"/>
    <x v="2"/>
    <n v="8"/>
    <x v="0"/>
    <x v="3"/>
    <n v="67"/>
    <x v="1"/>
    <x v="0"/>
  </r>
  <r>
    <x v="1140"/>
    <n v="57"/>
    <x v="0"/>
    <x v="0"/>
    <x v="1"/>
    <s v="Master"/>
    <s v="Married"/>
    <x v="1138"/>
    <x v="8"/>
    <n v="2"/>
    <x v="0"/>
    <x v="1"/>
    <n v="56"/>
    <x v="0"/>
    <x v="1"/>
  </r>
  <r>
    <x v="1141"/>
    <n v="45"/>
    <x v="1"/>
    <x v="0"/>
    <x v="2"/>
    <s v="Bachelor"/>
    <s v="Single"/>
    <x v="1139"/>
    <x v="6"/>
    <n v="1"/>
    <x v="1"/>
    <x v="0"/>
    <n v="14"/>
    <x v="1"/>
    <x v="0"/>
  </r>
  <r>
    <x v="1142"/>
    <n v="58"/>
    <x v="0"/>
    <x v="5"/>
    <x v="3"/>
    <s v="Bachelor"/>
    <s v="Married"/>
    <x v="1140"/>
    <x v="16"/>
    <n v="8"/>
    <x v="0"/>
    <x v="0"/>
    <n v="32"/>
    <x v="0"/>
    <x v="1"/>
  </r>
  <r>
    <x v="1143"/>
    <n v="32"/>
    <x v="1"/>
    <x v="5"/>
    <x v="0"/>
    <s v="Diploma"/>
    <s v="Married"/>
    <x v="1141"/>
    <x v="2"/>
    <n v="8"/>
    <x v="1"/>
    <x v="3"/>
    <n v="10"/>
    <x v="1"/>
    <x v="4"/>
  </r>
  <r>
    <x v="1144"/>
    <n v="43"/>
    <x v="0"/>
    <x v="1"/>
    <x v="3"/>
    <s v="MBA"/>
    <s v="Married"/>
    <x v="1142"/>
    <x v="14"/>
    <n v="0"/>
    <x v="0"/>
    <x v="1"/>
    <n v="31"/>
    <x v="0"/>
    <x v="4"/>
  </r>
  <r>
    <x v="1145"/>
    <n v="42"/>
    <x v="1"/>
    <x v="0"/>
    <x v="0"/>
    <s v="Master"/>
    <s v="Single"/>
    <x v="1143"/>
    <x v="2"/>
    <n v="5"/>
    <x v="1"/>
    <x v="1"/>
    <n v="16"/>
    <x v="0"/>
    <x v="0"/>
  </r>
  <r>
    <x v="1146"/>
    <n v="41"/>
    <x v="0"/>
    <x v="2"/>
    <x v="0"/>
    <s v="Master"/>
    <s v="Married"/>
    <x v="1144"/>
    <x v="2"/>
    <n v="9"/>
    <x v="0"/>
    <x v="2"/>
    <n v="66"/>
    <x v="0"/>
    <x v="3"/>
  </r>
  <r>
    <x v="1147"/>
    <n v="47"/>
    <x v="0"/>
    <x v="0"/>
    <x v="4"/>
    <s v="Master"/>
    <s v="Single"/>
    <x v="1145"/>
    <x v="4"/>
    <n v="7"/>
    <x v="1"/>
    <x v="2"/>
    <n v="56"/>
    <x v="1"/>
    <x v="2"/>
  </r>
  <r>
    <x v="1148"/>
    <n v="51"/>
    <x v="1"/>
    <x v="5"/>
    <x v="0"/>
    <s v="Master"/>
    <s v="Single"/>
    <x v="1146"/>
    <x v="7"/>
    <n v="2"/>
    <x v="0"/>
    <x v="3"/>
    <n v="52"/>
    <x v="0"/>
    <x v="3"/>
  </r>
  <r>
    <x v="1149"/>
    <n v="26"/>
    <x v="1"/>
    <x v="2"/>
    <x v="0"/>
    <s v="Master"/>
    <s v="Single"/>
    <x v="1147"/>
    <x v="0"/>
    <n v="8"/>
    <x v="0"/>
    <x v="1"/>
    <n v="71"/>
    <x v="1"/>
    <x v="3"/>
  </r>
  <r>
    <x v="1150"/>
    <n v="47"/>
    <x v="0"/>
    <x v="4"/>
    <x v="1"/>
    <s v="Bachelor"/>
    <s v="Single"/>
    <x v="1148"/>
    <x v="18"/>
    <n v="1"/>
    <x v="1"/>
    <x v="1"/>
    <n v="50"/>
    <x v="1"/>
    <x v="2"/>
  </r>
  <r>
    <x v="1151"/>
    <n v="54"/>
    <x v="1"/>
    <x v="4"/>
    <x v="3"/>
    <s v="Bachelor"/>
    <s v="Single"/>
    <x v="1149"/>
    <x v="12"/>
    <n v="5"/>
    <x v="0"/>
    <x v="2"/>
    <n v="78"/>
    <x v="0"/>
    <x v="4"/>
  </r>
  <r>
    <x v="1152"/>
    <n v="32"/>
    <x v="1"/>
    <x v="3"/>
    <x v="1"/>
    <s v="Bachelor"/>
    <s v="Single"/>
    <x v="1150"/>
    <x v="7"/>
    <n v="0"/>
    <x v="0"/>
    <x v="2"/>
    <n v="99"/>
    <x v="0"/>
    <x v="4"/>
  </r>
  <r>
    <x v="1153"/>
    <n v="27"/>
    <x v="1"/>
    <x v="5"/>
    <x v="0"/>
    <s v="MBA"/>
    <s v="Single"/>
    <x v="1151"/>
    <x v="15"/>
    <n v="6"/>
    <x v="1"/>
    <x v="3"/>
    <n v="19"/>
    <x v="1"/>
    <x v="2"/>
  </r>
  <r>
    <x v="1154"/>
    <n v="30"/>
    <x v="1"/>
    <x v="3"/>
    <x v="4"/>
    <s v="Diploma"/>
    <s v="Married"/>
    <x v="1152"/>
    <x v="3"/>
    <n v="2"/>
    <x v="0"/>
    <x v="1"/>
    <n v="75"/>
    <x v="1"/>
    <x v="1"/>
  </r>
  <r>
    <x v="1155"/>
    <n v="37"/>
    <x v="0"/>
    <x v="2"/>
    <x v="1"/>
    <s v="Master"/>
    <s v="Married"/>
    <x v="1153"/>
    <x v="2"/>
    <n v="6"/>
    <x v="0"/>
    <x v="0"/>
    <n v="40"/>
    <x v="1"/>
    <x v="3"/>
  </r>
  <r>
    <x v="1156"/>
    <n v="46"/>
    <x v="0"/>
    <x v="5"/>
    <x v="1"/>
    <s v="MBA"/>
    <s v="Married"/>
    <x v="1154"/>
    <x v="0"/>
    <n v="3"/>
    <x v="0"/>
    <x v="2"/>
    <n v="18"/>
    <x v="1"/>
    <x v="0"/>
  </r>
  <r>
    <x v="1157"/>
    <n v="41"/>
    <x v="1"/>
    <x v="1"/>
    <x v="2"/>
    <s v="Master"/>
    <s v="Single"/>
    <x v="1155"/>
    <x v="6"/>
    <n v="8"/>
    <x v="1"/>
    <x v="3"/>
    <n v="82"/>
    <x v="1"/>
    <x v="4"/>
  </r>
  <r>
    <x v="1158"/>
    <n v="48"/>
    <x v="1"/>
    <x v="0"/>
    <x v="0"/>
    <s v="Bachelor"/>
    <s v="Single"/>
    <x v="1156"/>
    <x v="11"/>
    <n v="4"/>
    <x v="1"/>
    <x v="1"/>
    <n v="7"/>
    <x v="1"/>
    <x v="0"/>
  </r>
  <r>
    <x v="1159"/>
    <n v="22"/>
    <x v="1"/>
    <x v="1"/>
    <x v="4"/>
    <s v="MBA"/>
    <s v="Single"/>
    <x v="1157"/>
    <x v="15"/>
    <n v="2"/>
    <x v="1"/>
    <x v="1"/>
    <n v="71"/>
    <x v="0"/>
    <x v="2"/>
  </r>
  <r>
    <x v="1160"/>
    <n v="21"/>
    <x v="1"/>
    <x v="2"/>
    <x v="1"/>
    <s v="Bachelor"/>
    <s v="Single"/>
    <x v="1158"/>
    <x v="8"/>
    <n v="7"/>
    <x v="1"/>
    <x v="2"/>
    <n v="90"/>
    <x v="1"/>
    <x v="0"/>
  </r>
  <r>
    <x v="1161"/>
    <n v="56"/>
    <x v="0"/>
    <x v="5"/>
    <x v="1"/>
    <s v="Master"/>
    <s v="Married"/>
    <x v="1159"/>
    <x v="12"/>
    <n v="5"/>
    <x v="1"/>
    <x v="3"/>
    <n v="23"/>
    <x v="1"/>
    <x v="0"/>
  </r>
  <r>
    <x v="1162"/>
    <n v="46"/>
    <x v="0"/>
    <x v="2"/>
    <x v="4"/>
    <s v="Master"/>
    <s v="Single"/>
    <x v="1160"/>
    <x v="5"/>
    <n v="1"/>
    <x v="0"/>
    <x v="0"/>
    <n v="80"/>
    <x v="0"/>
    <x v="3"/>
  </r>
  <r>
    <x v="1163"/>
    <n v="49"/>
    <x v="1"/>
    <x v="0"/>
    <x v="0"/>
    <s v="Diploma"/>
    <s v="Married"/>
    <x v="1161"/>
    <x v="9"/>
    <n v="2"/>
    <x v="0"/>
    <x v="2"/>
    <n v="58"/>
    <x v="0"/>
    <x v="2"/>
  </r>
  <r>
    <x v="1164"/>
    <n v="41"/>
    <x v="1"/>
    <x v="4"/>
    <x v="2"/>
    <s v="Master"/>
    <s v="Single"/>
    <x v="1162"/>
    <x v="3"/>
    <n v="7"/>
    <x v="1"/>
    <x v="3"/>
    <n v="73"/>
    <x v="0"/>
    <x v="0"/>
  </r>
  <r>
    <x v="1165"/>
    <n v="31"/>
    <x v="1"/>
    <x v="4"/>
    <x v="1"/>
    <s v="Bachelor"/>
    <s v="Married"/>
    <x v="1163"/>
    <x v="19"/>
    <n v="9"/>
    <x v="0"/>
    <x v="1"/>
    <n v="14"/>
    <x v="1"/>
    <x v="4"/>
  </r>
  <r>
    <x v="1166"/>
    <n v="31"/>
    <x v="0"/>
    <x v="2"/>
    <x v="2"/>
    <s v="Master"/>
    <s v="Single"/>
    <x v="1164"/>
    <x v="14"/>
    <n v="6"/>
    <x v="0"/>
    <x v="0"/>
    <n v="37"/>
    <x v="0"/>
    <x v="2"/>
  </r>
  <r>
    <x v="1167"/>
    <n v="56"/>
    <x v="1"/>
    <x v="3"/>
    <x v="3"/>
    <s v="Diploma"/>
    <s v="Married"/>
    <x v="1165"/>
    <x v="11"/>
    <n v="9"/>
    <x v="0"/>
    <x v="3"/>
    <n v="17"/>
    <x v="0"/>
    <x v="4"/>
  </r>
  <r>
    <x v="1168"/>
    <n v="59"/>
    <x v="0"/>
    <x v="5"/>
    <x v="0"/>
    <s v="Diploma"/>
    <s v="Single"/>
    <x v="1166"/>
    <x v="2"/>
    <n v="5"/>
    <x v="0"/>
    <x v="0"/>
    <n v="55"/>
    <x v="1"/>
    <x v="1"/>
  </r>
  <r>
    <x v="1169"/>
    <n v="55"/>
    <x v="1"/>
    <x v="5"/>
    <x v="3"/>
    <s v="Bachelor"/>
    <s v="Married"/>
    <x v="1167"/>
    <x v="2"/>
    <n v="0"/>
    <x v="1"/>
    <x v="3"/>
    <n v="36"/>
    <x v="1"/>
    <x v="0"/>
  </r>
  <r>
    <x v="1170"/>
    <n v="54"/>
    <x v="0"/>
    <x v="4"/>
    <x v="3"/>
    <s v="MBA"/>
    <s v="Single"/>
    <x v="1168"/>
    <x v="4"/>
    <n v="8"/>
    <x v="1"/>
    <x v="3"/>
    <n v="79"/>
    <x v="1"/>
    <x v="2"/>
  </r>
  <r>
    <x v="1171"/>
    <n v="44"/>
    <x v="1"/>
    <x v="1"/>
    <x v="3"/>
    <s v="Master"/>
    <s v="Married"/>
    <x v="1169"/>
    <x v="16"/>
    <n v="2"/>
    <x v="0"/>
    <x v="3"/>
    <n v="28"/>
    <x v="1"/>
    <x v="4"/>
  </r>
  <r>
    <x v="1172"/>
    <n v="42"/>
    <x v="0"/>
    <x v="0"/>
    <x v="0"/>
    <s v="Diploma"/>
    <s v="Married"/>
    <x v="1170"/>
    <x v="12"/>
    <n v="4"/>
    <x v="0"/>
    <x v="3"/>
    <n v="39"/>
    <x v="0"/>
    <x v="0"/>
  </r>
  <r>
    <x v="1173"/>
    <n v="25"/>
    <x v="1"/>
    <x v="1"/>
    <x v="0"/>
    <s v="Master"/>
    <s v="Single"/>
    <x v="1171"/>
    <x v="9"/>
    <n v="6"/>
    <x v="1"/>
    <x v="0"/>
    <n v="87"/>
    <x v="1"/>
    <x v="3"/>
  </r>
  <r>
    <x v="1174"/>
    <n v="53"/>
    <x v="1"/>
    <x v="1"/>
    <x v="4"/>
    <s v="Master"/>
    <s v="Married"/>
    <x v="1172"/>
    <x v="13"/>
    <n v="6"/>
    <x v="0"/>
    <x v="2"/>
    <n v="74"/>
    <x v="0"/>
    <x v="4"/>
  </r>
  <r>
    <x v="1175"/>
    <n v="56"/>
    <x v="1"/>
    <x v="2"/>
    <x v="2"/>
    <s v="MBA"/>
    <s v="Single"/>
    <x v="1173"/>
    <x v="3"/>
    <n v="2"/>
    <x v="0"/>
    <x v="0"/>
    <n v="44"/>
    <x v="1"/>
    <x v="4"/>
  </r>
  <r>
    <x v="1176"/>
    <n v="40"/>
    <x v="0"/>
    <x v="4"/>
    <x v="2"/>
    <s v="Diploma"/>
    <s v="Single"/>
    <x v="1174"/>
    <x v="9"/>
    <n v="3"/>
    <x v="0"/>
    <x v="3"/>
    <n v="58"/>
    <x v="0"/>
    <x v="1"/>
  </r>
  <r>
    <x v="1177"/>
    <n v="39"/>
    <x v="1"/>
    <x v="4"/>
    <x v="4"/>
    <s v="Master"/>
    <s v="Single"/>
    <x v="1175"/>
    <x v="7"/>
    <n v="9"/>
    <x v="1"/>
    <x v="0"/>
    <n v="48"/>
    <x v="1"/>
    <x v="3"/>
  </r>
  <r>
    <x v="1178"/>
    <n v="55"/>
    <x v="0"/>
    <x v="4"/>
    <x v="4"/>
    <s v="Diploma"/>
    <s v="Married"/>
    <x v="1176"/>
    <x v="13"/>
    <n v="6"/>
    <x v="1"/>
    <x v="0"/>
    <n v="66"/>
    <x v="1"/>
    <x v="1"/>
  </r>
  <r>
    <x v="1179"/>
    <n v="37"/>
    <x v="0"/>
    <x v="2"/>
    <x v="3"/>
    <s v="Bachelor"/>
    <s v="Married"/>
    <x v="468"/>
    <x v="3"/>
    <n v="7"/>
    <x v="0"/>
    <x v="0"/>
    <n v="72"/>
    <x v="1"/>
    <x v="3"/>
  </r>
  <r>
    <x v="1180"/>
    <n v="54"/>
    <x v="1"/>
    <x v="3"/>
    <x v="4"/>
    <s v="Bachelor"/>
    <s v="Single"/>
    <x v="1177"/>
    <x v="10"/>
    <n v="1"/>
    <x v="0"/>
    <x v="3"/>
    <n v="37"/>
    <x v="0"/>
    <x v="4"/>
  </r>
  <r>
    <x v="1181"/>
    <n v="29"/>
    <x v="1"/>
    <x v="1"/>
    <x v="1"/>
    <s v="Master"/>
    <s v="Single"/>
    <x v="1178"/>
    <x v="12"/>
    <n v="8"/>
    <x v="0"/>
    <x v="0"/>
    <n v="81"/>
    <x v="0"/>
    <x v="1"/>
  </r>
  <r>
    <x v="1182"/>
    <n v="46"/>
    <x v="1"/>
    <x v="2"/>
    <x v="2"/>
    <s v="Diploma"/>
    <s v="Married"/>
    <x v="1179"/>
    <x v="5"/>
    <n v="6"/>
    <x v="0"/>
    <x v="1"/>
    <n v="60"/>
    <x v="0"/>
    <x v="0"/>
  </r>
  <r>
    <x v="1183"/>
    <n v="22"/>
    <x v="0"/>
    <x v="5"/>
    <x v="4"/>
    <s v="Master"/>
    <s v="Married"/>
    <x v="1180"/>
    <x v="4"/>
    <n v="7"/>
    <x v="0"/>
    <x v="3"/>
    <n v="40"/>
    <x v="1"/>
    <x v="3"/>
  </r>
  <r>
    <x v="1184"/>
    <n v="29"/>
    <x v="1"/>
    <x v="0"/>
    <x v="1"/>
    <s v="Diploma"/>
    <s v="Married"/>
    <x v="1181"/>
    <x v="15"/>
    <n v="5"/>
    <x v="0"/>
    <x v="0"/>
    <n v="58"/>
    <x v="0"/>
    <x v="4"/>
  </r>
  <r>
    <x v="1185"/>
    <n v="29"/>
    <x v="0"/>
    <x v="3"/>
    <x v="1"/>
    <s v="Diploma"/>
    <s v="Single"/>
    <x v="1182"/>
    <x v="9"/>
    <n v="5"/>
    <x v="1"/>
    <x v="1"/>
    <n v="23"/>
    <x v="1"/>
    <x v="2"/>
  </r>
  <r>
    <x v="1186"/>
    <n v="37"/>
    <x v="0"/>
    <x v="5"/>
    <x v="1"/>
    <s v="MBA"/>
    <s v="Single"/>
    <x v="1183"/>
    <x v="2"/>
    <n v="8"/>
    <x v="1"/>
    <x v="0"/>
    <n v="47"/>
    <x v="1"/>
    <x v="3"/>
  </r>
  <r>
    <x v="1187"/>
    <n v="21"/>
    <x v="1"/>
    <x v="1"/>
    <x v="1"/>
    <s v="MBA"/>
    <s v="Single"/>
    <x v="1184"/>
    <x v="8"/>
    <n v="3"/>
    <x v="0"/>
    <x v="2"/>
    <n v="16"/>
    <x v="1"/>
    <x v="3"/>
  </r>
  <r>
    <x v="1188"/>
    <n v="45"/>
    <x v="1"/>
    <x v="4"/>
    <x v="3"/>
    <s v="MBA"/>
    <s v="Single"/>
    <x v="1185"/>
    <x v="3"/>
    <n v="4"/>
    <x v="1"/>
    <x v="0"/>
    <n v="15"/>
    <x v="0"/>
    <x v="0"/>
  </r>
  <r>
    <x v="1189"/>
    <n v="45"/>
    <x v="1"/>
    <x v="1"/>
    <x v="1"/>
    <s v="Master"/>
    <s v="Single"/>
    <x v="1186"/>
    <x v="14"/>
    <n v="8"/>
    <x v="0"/>
    <x v="0"/>
    <n v="74"/>
    <x v="1"/>
    <x v="3"/>
  </r>
  <r>
    <x v="1190"/>
    <n v="59"/>
    <x v="1"/>
    <x v="2"/>
    <x v="3"/>
    <s v="MBA"/>
    <s v="Married"/>
    <x v="1187"/>
    <x v="12"/>
    <n v="0"/>
    <x v="0"/>
    <x v="2"/>
    <n v="16"/>
    <x v="0"/>
    <x v="3"/>
  </r>
  <r>
    <x v="1191"/>
    <n v="55"/>
    <x v="1"/>
    <x v="0"/>
    <x v="3"/>
    <s v="MBA"/>
    <s v="Single"/>
    <x v="1188"/>
    <x v="18"/>
    <n v="3"/>
    <x v="1"/>
    <x v="3"/>
    <n v="95"/>
    <x v="1"/>
    <x v="0"/>
  </r>
  <r>
    <x v="1192"/>
    <n v="23"/>
    <x v="1"/>
    <x v="2"/>
    <x v="1"/>
    <s v="Bachelor"/>
    <s v="Married"/>
    <x v="1189"/>
    <x v="9"/>
    <n v="6"/>
    <x v="1"/>
    <x v="2"/>
    <n v="45"/>
    <x v="1"/>
    <x v="0"/>
  </r>
  <r>
    <x v="1193"/>
    <n v="57"/>
    <x v="0"/>
    <x v="3"/>
    <x v="2"/>
    <s v="Diploma"/>
    <s v="Married"/>
    <x v="1190"/>
    <x v="9"/>
    <n v="8"/>
    <x v="0"/>
    <x v="3"/>
    <n v="29"/>
    <x v="1"/>
    <x v="1"/>
  </r>
  <r>
    <x v="1194"/>
    <n v="50"/>
    <x v="0"/>
    <x v="3"/>
    <x v="1"/>
    <s v="Diploma"/>
    <s v="Single"/>
    <x v="1191"/>
    <x v="8"/>
    <n v="9"/>
    <x v="0"/>
    <x v="2"/>
    <n v="7"/>
    <x v="0"/>
    <x v="4"/>
  </r>
  <r>
    <x v="1195"/>
    <n v="58"/>
    <x v="0"/>
    <x v="0"/>
    <x v="1"/>
    <s v="MBA"/>
    <s v="Married"/>
    <x v="1192"/>
    <x v="4"/>
    <n v="5"/>
    <x v="1"/>
    <x v="0"/>
    <n v="7"/>
    <x v="0"/>
    <x v="4"/>
  </r>
  <r>
    <x v="1196"/>
    <n v="54"/>
    <x v="1"/>
    <x v="5"/>
    <x v="1"/>
    <s v="Diploma"/>
    <s v="Single"/>
    <x v="1193"/>
    <x v="1"/>
    <n v="7"/>
    <x v="1"/>
    <x v="0"/>
    <n v="88"/>
    <x v="1"/>
    <x v="1"/>
  </r>
  <r>
    <x v="1197"/>
    <n v="32"/>
    <x v="0"/>
    <x v="5"/>
    <x v="2"/>
    <s v="Bachelor"/>
    <s v="Married"/>
    <x v="1194"/>
    <x v="3"/>
    <n v="8"/>
    <x v="0"/>
    <x v="3"/>
    <n v="32"/>
    <x v="0"/>
    <x v="4"/>
  </r>
  <r>
    <x v="1198"/>
    <n v="39"/>
    <x v="0"/>
    <x v="3"/>
    <x v="0"/>
    <s v="Bachelor"/>
    <s v="Single"/>
    <x v="1195"/>
    <x v="12"/>
    <n v="9"/>
    <x v="0"/>
    <x v="3"/>
    <n v="27"/>
    <x v="0"/>
    <x v="3"/>
  </r>
  <r>
    <x v="1199"/>
    <n v="57"/>
    <x v="0"/>
    <x v="3"/>
    <x v="0"/>
    <s v="MBA"/>
    <s v="Single"/>
    <x v="1196"/>
    <x v="9"/>
    <n v="3"/>
    <x v="0"/>
    <x v="1"/>
    <n v="5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280F02-852E-4E77-B31C-E2A42CBA09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5">
    <pivotField showAll="0"/>
    <pivotField showAll="0"/>
    <pivotField showAll="0"/>
    <pivotField showAll="0"/>
    <pivotField showAll="0">
      <items count="6">
        <item x="1"/>
        <item x="3"/>
        <item x="0"/>
        <item x="2"/>
        <item x="4"/>
        <item t="default"/>
      </items>
    </pivotField>
    <pivotField showAll="0"/>
    <pivotField showAll="0"/>
    <pivotField dataField="1"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pivotField showAll="0"/>
    <pivotField showAll="0"/>
    <pivotField showAll="0"/>
  </pivotFields>
  <rowItems count="1">
    <i/>
  </rowItems>
  <colItems count="1">
    <i/>
  </colItems>
  <dataFields count="1">
    <dataField name="Average of Monthly_Salary" fld="7" subtotal="average" baseField="0" baseItem="0" numFmtId="1"/>
  </dataFields>
  <formats count="4">
    <format dxfId="12">
      <pivotArea outline="0" collapsedLevelsAreSubtotals="1"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4277A4-E916-45F6-A51F-10F4FDB3B9B8}"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3:C4" firstHeaderRow="1" firstDataRow="1" firstDataCol="1"/>
  <pivotFields count="15">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items count="6">
        <item x="1"/>
        <item x="3"/>
        <item x="0"/>
        <item x="2"/>
        <item x="4"/>
        <item t="default"/>
      </items>
    </pivotField>
    <pivotField showAll="0"/>
    <pivotField showAll="0"/>
    <pivotField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pivotField showAll="0"/>
    <pivotField axis="axisRow" dataField="1" showAll="0">
      <items count="3">
        <item h="1" x="1"/>
        <item x="0"/>
        <item t="default"/>
      </items>
    </pivotField>
    <pivotField showAll="0"/>
  </pivotFields>
  <rowFields count="1">
    <field x="13"/>
  </rowFields>
  <rowItems count="1">
    <i>
      <x v="1"/>
    </i>
  </rowItems>
  <colItems count="1">
    <i/>
  </colItems>
  <dataFields count="1">
    <dataField name="Count of Attrition" fld="13" subtotal="count" baseField="0" baseItem="0"/>
  </dataFields>
  <formats count="5">
    <format dxfId="17">
      <pivotArea type="all" dataOnly="0" outline="0" fieldPosition="0"/>
    </format>
    <format dxfId="16">
      <pivotArea outline="0" collapsedLevelsAreSubtotals="1" fieldPosition="0"/>
    </format>
    <format dxfId="15">
      <pivotArea field="13" type="button" dataOnly="0" labelOnly="1" outline="0" axis="axisRow" fieldPosition="0"/>
    </format>
    <format dxfId="14">
      <pivotArea dataOnly="0" labelOnly="1" fieldPosition="0">
        <references count="1">
          <reference field="13" count="0"/>
        </references>
      </pivotArea>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EA696-ABDD-48C0-A150-EFB5523DAD0A}"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H26:I28" firstHeaderRow="1" firstDataRow="1" firstDataCol="1"/>
  <pivotFields count="15">
    <pivotField dataField="1" showAll="0"/>
    <pivotField showAll="0"/>
    <pivotField axis="axisRow" showAll="0">
      <items count="3">
        <item x="0"/>
        <item x="1"/>
        <item t="default"/>
      </items>
    </pivotField>
    <pivotField showAll="0" sortType="descending">
      <items count="7">
        <item x="0"/>
        <item x="4"/>
        <item x="5"/>
        <item x="1"/>
        <item x="2"/>
        <item x="3"/>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 showAll="0"/>
    <pivotField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items count="5">
        <item x="2"/>
        <item x="0"/>
        <item x="3"/>
        <item x="1"/>
        <item t="default"/>
      </items>
    </pivotField>
    <pivotField showAll="0"/>
    <pivotField showAll="0">
      <items count="3">
        <item h="1" x="1"/>
        <item x="0"/>
        <item t="default"/>
      </items>
    </pivotField>
    <pivotField showAll="0"/>
  </pivotFields>
  <rowFields count="1">
    <field x="2"/>
  </rowFields>
  <rowItems count="2">
    <i>
      <x/>
    </i>
    <i>
      <x v="1"/>
    </i>
  </rowItems>
  <colItems count="1">
    <i/>
  </colItems>
  <dataFields count="1">
    <dataField name="Count of Employee_ID" fld="0" subtotal="count" baseField="11" baseItem="0"/>
  </dataFields>
  <formats count="9">
    <format dxfId="26">
      <pivotArea type="all" dataOnly="0" outline="0" fieldPosition="0"/>
    </format>
    <format dxfId="25">
      <pivotArea outline="0" collapsedLevelsAreSubtotals="1" fieldPosition="0"/>
    </format>
    <format dxfId="24">
      <pivotArea field="11" type="button" dataOnly="0" labelOnly="1" outline="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2" type="button" dataOnly="0" labelOnly="1" outline="0" axis="axisRow" fieldPosition="0"/>
    </format>
    <format dxfId="19">
      <pivotArea dataOnly="0" labelOnly="1" fieldPosition="0">
        <references count="1">
          <reference field="2" count="0"/>
        </references>
      </pivotArea>
    </format>
    <format dxfId="18">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5" format="1">
      <pivotArea type="data" outline="0" fieldPosition="0">
        <references count="2">
          <reference field="4294967294" count="1" selected="0">
            <x v="0"/>
          </reference>
          <reference field="2" count="1" selected="0">
            <x v="0"/>
          </reference>
        </references>
      </pivotArea>
    </chartFormat>
    <chartFormat chart="15"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32203-A3FD-4C94-89D0-86273A0FF3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pivotField showAll="0"/>
    <pivotField showAll="0"/>
    <pivotField showAll="0"/>
    <pivotField showAll="0">
      <items count="6">
        <item x="1"/>
        <item x="3"/>
        <item x="0"/>
        <item x="2"/>
        <item x="4"/>
        <item t="default"/>
      </items>
    </pivotField>
    <pivotField showAll="0"/>
    <pivotField showAll="0"/>
    <pivotField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formats count="3">
    <format dxfId="29">
      <pivotArea type="all" dataOnly="0" outline="0" fieldPosition="0"/>
    </format>
    <format dxfId="28">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E33489-0D85-4B7F-88DF-AAFB35C0FFAF}"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3:J4" firstHeaderRow="1" firstDataRow="1" firstDataCol="1"/>
  <pivotFields count="15">
    <pivotField showAll="0"/>
    <pivotField showAll="0"/>
    <pivotField showAll="0"/>
    <pivotField showAll="0"/>
    <pivotField showAll="0">
      <items count="6">
        <item x="1"/>
        <item x="3"/>
        <item x="0"/>
        <item x="2"/>
        <item x="4"/>
        <item t="default"/>
      </items>
    </pivotField>
    <pivotField showAll="0"/>
    <pivotField showAll="0"/>
    <pivotField showAll="0"/>
    <pivotField showAll="0">
      <items count="21">
        <item x="1"/>
        <item x="16"/>
        <item x="11"/>
        <item x="18"/>
        <item x="6"/>
        <item x="0"/>
        <item x="2"/>
        <item x="14"/>
        <item x="13"/>
        <item x="12"/>
        <item x="19"/>
        <item x="15"/>
        <item x="10"/>
        <item x="4"/>
        <item x="8"/>
        <item x="3"/>
        <item x="17"/>
        <item x="7"/>
        <item x="9"/>
        <item x="5"/>
        <item t="default"/>
      </items>
    </pivotField>
    <pivotField showAll="0"/>
    <pivotField axis="axisRow" dataField="1" showAll="0">
      <items count="3">
        <item h="1" x="1"/>
        <item x="0"/>
        <item t="default"/>
      </items>
    </pivotField>
    <pivotField showAll="0"/>
    <pivotField showAll="0"/>
    <pivotField showAll="0"/>
    <pivotField showAll="0"/>
  </pivotFields>
  <rowFields count="1">
    <field x="10"/>
  </rowFields>
  <rowItems count="1">
    <i>
      <x v="1"/>
    </i>
  </rowItems>
  <colItems count="1">
    <i/>
  </colItems>
  <dataFields count="1">
    <dataField name="Count of Overtime" fld="10" subtotal="count" baseField="0" baseItem="0"/>
  </dataFields>
  <formats count="6">
    <format dxfId="35">
      <pivotArea outline="0" collapsedLevelsAreSubtotals="1" fieldPosition="0"/>
    </format>
    <format dxfId="34">
      <pivotArea type="all" dataOnly="0" outline="0" fieldPosition="0"/>
    </format>
    <format dxfId="33">
      <pivotArea outline="0" collapsedLevelsAreSubtotals="1" fieldPosition="0"/>
    </format>
    <format dxfId="32">
      <pivotArea field="10" type="button" dataOnly="0" labelOnly="1" outline="0" axis="axisRow" fieldPosition="0"/>
    </format>
    <format dxfId="31">
      <pivotArea dataOnly="0" labelOnly="1" fieldPosition="0">
        <references count="1">
          <reference field="10" count="0"/>
        </references>
      </pivotArea>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EB8E84-458A-4F6A-9E98-6D450FED3073}"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27:B31" firstHeaderRow="1" firstDataRow="1" firstDataCol="1"/>
  <pivotFields count="15">
    <pivotField dataField="1" showAll="0"/>
    <pivotField showAll="0"/>
    <pivotField showAll="0"/>
    <pivotField showAll="0" sortType="descending">
      <items count="7">
        <item x="0"/>
        <item x="4"/>
        <item x="5"/>
        <item x="1"/>
        <item x="2"/>
        <item x="3"/>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 showAll="0"/>
    <pivotField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axis="axisRow" showAll="0">
      <items count="5">
        <item x="2"/>
        <item x="0"/>
        <item x="3"/>
        <item x="1"/>
        <item t="default"/>
      </items>
    </pivotField>
    <pivotField showAll="0"/>
    <pivotField showAll="0">
      <items count="3">
        <item h="1" x="1"/>
        <item x="0"/>
        <item t="default"/>
      </items>
    </pivotField>
    <pivotField showAll="0"/>
  </pivotFields>
  <rowFields count="1">
    <field x="11"/>
  </rowFields>
  <rowItems count="4">
    <i>
      <x/>
    </i>
    <i>
      <x v="1"/>
    </i>
    <i>
      <x v="2"/>
    </i>
    <i>
      <x v="3"/>
    </i>
  </rowItems>
  <colItems count="1">
    <i/>
  </colItems>
  <dataFields count="1">
    <dataField name="Count of Employee_ID" fld="0" subtotal="count" baseField="11" baseItem="0"/>
  </dataFields>
  <formats count="5">
    <format dxfId="40">
      <pivotArea type="all" dataOnly="0" outline="0" fieldPosition="0"/>
    </format>
    <format dxfId="39">
      <pivotArea outline="0" collapsedLevelsAreSubtotals="1" fieldPosition="0"/>
    </format>
    <format dxfId="38">
      <pivotArea field="11" type="button" dataOnly="0" labelOnly="1" outline="0" axis="axisRow" fieldPosition="0"/>
    </format>
    <format dxfId="37">
      <pivotArea dataOnly="0" labelOnly="1" fieldPosition="0">
        <references count="1">
          <reference field="11" count="0"/>
        </references>
      </pivotArea>
    </format>
    <format dxfId="3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1" count="1" selected="0">
            <x v="0"/>
          </reference>
        </references>
      </pivotArea>
    </chartFormat>
    <chartFormat chart="14" format="8">
      <pivotArea type="data" outline="0" fieldPosition="0">
        <references count="2">
          <reference field="4294967294" count="1" selected="0">
            <x v="0"/>
          </reference>
          <reference field="11" count="1" selected="0">
            <x v="1"/>
          </reference>
        </references>
      </pivotArea>
    </chartFormat>
    <chartFormat chart="14" format="9">
      <pivotArea type="data" outline="0" fieldPosition="0">
        <references count="2">
          <reference field="4294967294" count="1" selected="0">
            <x v="0"/>
          </reference>
          <reference field="11" count="1" selected="0">
            <x v="2"/>
          </reference>
        </references>
      </pivotArea>
    </chartFormat>
    <chartFormat chart="14" format="10">
      <pivotArea type="data" outline="0" fieldPosition="0">
        <references count="2">
          <reference field="4294967294" count="1" selected="0">
            <x v="0"/>
          </reference>
          <reference field="11" count="1" selected="0">
            <x v="3"/>
          </reference>
        </references>
      </pivotArea>
    </chartFormat>
    <chartFormat chart="11" format="1">
      <pivotArea type="data" outline="0" fieldPosition="0">
        <references count="2">
          <reference field="4294967294" count="1" selected="0">
            <x v="0"/>
          </reference>
          <reference field="11" count="1" selected="0">
            <x v="0"/>
          </reference>
        </references>
      </pivotArea>
    </chartFormat>
    <chartFormat chart="11" format="2">
      <pivotArea type="data" outline="0" fieldPosition="0">
        <references count="2">
          <reference field="4294967294" count="1" selected="0">
            <x v="0"/>
          </reference>
          <reference field="11" count="1" selected="0">
            <x v="1"/>
          </reference>
        </references>
      </pivotArea>
    </chartFormat>
    <chartFormat chart="11" format="3">
      <pivotArea type="data" outline="0" fieldPosition="0">
        <references count="2">
          <reference field="4294967294" count="1" selected="0">
            <x v="0"/>
          </reference>
          <reference field="11" count="1" selected="0">
            <x v="2"/>
          </reference>
        </references>
      </pivotArea>
    </chartFormat>
    <chartFormat chart="11"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E563FA-05D1-4E3A-A17C-D8BBAA929F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5">
    <pivotField showAll="0"/>
    <pivotField showAll="0"/>
    <pivotField showAll="0"/>
    <pivotField showAll="0"/>
    <pivotField showAll="0">
      <items count="6">
        <item x="1"/>
        <item x="3"/>
        <item x="0"/>
        <item x="2"/>
        <item x="4"/>
        <item t="default"/>
      </items>
    </pivotField>
    <pivotField showAll="0"/>
    <pivotField showAll="0"/>
    <pivotField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pivotField showAll="0"/>
    <pivotField showAll="0"/>
    <pivotField dataField="1" showAll="0"/>
  </pivotFields>
  <rowItems count="1">
    <i/>
  </rowItems>
  <colItems count="1">
    <i/>
  </colItems>
  <dataFields count="1">
    <dataField name="Average of Job_Satisfaction_Score" fld="14" subtotal="average" baseField="0" baseItem="0"/>
  </dataFields>
  <formats count="4">
    <format dxfId="44">
      <pivotArea outline="0" collapsedLevelsAreSubtotals="1"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41D284-561B-45DA-AFEF-EA3CEAD3FF5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2:I20" firstHeaderRow="1" firstDataRow="1" firstDataCol="1"/>
  <pivotFields count="15">
    <pivotField dataField="1" showAll="0"/>
    <pivotField showAll="0"/>
    <pivotField showAll="0"/>
    <pivotField axis="axisRow" showAll="0" sortType="descending">
      <items count="7">
        <item x="0"/>
        <item x="4"/>
        <item x="5"/>
        <item x="1"/>
        <item x="2"/>
        <item x="3"/>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 showAll="0"/>
    <pivotField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pivotField showAll="0"/>
    <pivotField axis="axisRow" showAll="0">
      <items count="3">
        <item h="1" x="1"/>
        <item x="0"/>
        <item t="default"/>
      </items>
    </pivotField>
    <pivotField showAll="0"/>
  </pivotFields>
  <rowFields count="2">
    <field x="13"/>
    <field x="3"/>
  </rowFields>
  <rowItems count="8">
    <i>
      <x v="1"/>
    </i>
    <i r="1">
      <x v="5"/>
    </i>
    <i r="1">
      <x v="4"/>
    </i>
    <i r="1">
      <x v="3"/>
    </i>
    <i r="1">
      <x v="1"/>
    </i>
    <i r="1">
      <x v="2"/>
    </i>
    <i r="1">
      <x/>
    </i>
    <i t="grand">
      <x/>
    </i>
  </rowItems>
  <colItems count="1">
    <i/>
  </colItems>
  <dataFields count="1">
    <dataField name="Count of Employee_ID" fld="0" subtotal="count" baseField="0" baseItem="0"/>
  </dataFields>
  <formats count="7">
    <format dxfId="51">
      <pivotArea type="all" dataOnly="0" outline="0" fieldPosition="0"/>
    </format>
    <format dxfId="50">
      <pivotArea outline="0" collapsedLevelsAreSubtotals="1" fieldPosition="0"/>
    </format>
    <format dxfId="49">
      <pivotArea field="13" type="button" dataOnly="0" labelOnly="1" outline="0" axis="axisRow" fieldPosition="0"/>
    </format>
    <format dxfId="48">
      <pivotArea dataOnly="0" labelOnly="1" fieldPosition="0">
        <references count="1">
          <reference field="13" count="0"/>
        </references>
      </pivotArea>
    </format>
    <format dxfId="47">
      <pivotArea dataOnly="0" labelOnly="1" grandRow="1" outline="0" fieldPosition="0"/>
    </format>
    <format dxfId="46">
      <pivotArea dataOnly="0" labelOnly="1" fieldPosition="0">
        <references count="2">
          <reference field="3" count="0"/>
          <reference field="13" count="0" selected="0"/>
        </references>
      </pivotArea>
    </format>
    <format dxfId="4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3">
          <reference field="4294967294" count="1" selected="0">
            <x v="0"/>
          </reference>
          <reference field="3" count="1" selected="0">
            <x v="0"/>
          </reference>
          <reference field="13" count="1" selected="0">
            <x v="1"/>
          </reference>
        </references>
      </pivotArea>
    </chartFormat>
    <chartFormat chart="7" format="9">
      <pivotArea type="data" outline="0" fieldPosition="0">
        <references count="3">
          <reference field="4294967294" count="1" selected="0">
            <x v="0"/>
          </reference>
          <reference field="3" count="1" selected="0">
            <x v="2"/>
          </reference>
          <reference field="13" count="1" selected="0">
            <x v="1"/>
          </reference>
        </references>
      </pivotArea>
    </chartFormat>
    <chartFormat chart="7" format="10">
      <pivotArea type="data" outline="0" fieldPosition="0">
        <references count="3">
          <reference field="4294967294" count="1" selected="0">
            <x v="0"/>
          </reference>
          <reference field="3" count="1" selected="0">
            <x v="1"/>
          </reference>
          <reference field="13" count="1" selected="0">
            <x v="1"/>
          </reference>
        </references>
      </pivotArea>
    </chartFormat>
    <chartFormat chart="7" format="11">
      <pivotArea type="data" outline="0" fieldPosition="0">
        <references count="3">
          <reference field="4294967294" count="1" selected="0">
            <x v="0"/>
          </reference>
          <reference field="3" count="1" selected="0">
            <x v="3"/>
          </reference>
          <reference field="13" count="1" selected="0">
            <x v="1"/>
          </reference>
        </references>
      </pivotArea>
    </chartFormat>
    <chartFormat chart="7" format="12">
      <pivotArea type="data" outline="0" fieldPosition="0">
        <references count="3">
          <reference field="4294967294" count="1" selected="0">
            <x v="0"/>
          </reference>
          <reference field="3" count="1" selected="0">
            <x v="4"/>
          </reference>
          <reference field="13" count="1" selected="0">
            <x v="1"/>
          </reference>
        </references>
      </pivotArea>
    </chartFormat>
    <chartFormat chart="7" format="13">
      <pivotArea type="data" outline="0" fieldPosition="0">
        <references count="3">
          <reference field="4294967294" count="1" selected="0">
            <x v="0"/>
          </reference>
          <reference field="3" count="1" selected="0">
            <x v="5"/>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F5A00B-7DE5-4D5F-ABA4-E31421853B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pivotField dataField="1" showAll="0"/>
    <pivotField showAll="0"/>
    <pivotField showAll="0"/>
    <pivotField showAll="0">
      <items count="6">
        <item x="1"/>
        <item x="3"/>
        <item x="0"/>
        <item x="2"/>
        <item x="4"/>
        <item t="default"/>
      </items>
    </pivotField>
    <pivotField showAll="0"/>
    <pivotField showAll="0"/>
    <pivotField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pivotField showAll="0"/>
    <pivotField showAll="0"/>
    <pivotField showAll="0"/>
  </pivotFields>
  <rowItems count="1">
    <i/>
  </rowItems>
  <colItems count="1">
    <i/>
  </colItems>
  <dataFields count="1">
    <dataField name="Average of Age" fld="1" subtotal="average" baseField="0" baseItem="0"/>
  </dataFields>
  <formats count="4">
    <format dxfId="55">
      <pivotArea outline="0" collapsedLevelsAreSubtotals="1"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FCED6F-01EB-4447-9018-BB586C38DBA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1" firstHeaderRow="1" firstDataRow="1" firstDataCol="1"/>
  <pivotFields count="15">
    <pivotField dataField="1" showAll="0"/>
    <pivotField showAll="0"/>
    <pivotField showAll="0"/>
    <pivotField axis="axisRow" showAll="0" sortType="descending">
      <items count="7">
        <item x="0"/>
        <item x="4"/>
        <item x="5"/>
        <item x="1"/>
        <item x="2"/>
        <item x="3"/>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 showAll="0"/>
    <pivotField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pivotField showAll="0"/>
    <pivotField showAll="0"/>
    <pivotField showAll="0"/>
  </pivotFields>
  <rowFields count="1">
    <field x="3"/>
  </rowFields>
  <rowItems count="7">
    <i>
      <x v="5"/>
    </i>
    <i>
      <x v="4"/>
    </i>
    <i>
      <x v="3"/>
    </i>
    <i>
      <x v="1"/>
    </i>
    <i>
      <x v="2"/>
    </i>
    <i>
      <x/>
    </i>
    <i t="grand">
      <x/>
    </i>
  </rowItems>
  <colItems count="1">
    <i/>
  </colItems>
  <dataFields count="1">
    <dataField name="Count of Employee_ID" fld="0" subtotal="count" baseField="0" baseItem="0"/>
  </dataFields>
  <formats count="6">
    <format dxfId="61">
      <pivotArea type="all" dataOnly="0" outline="0" fieldPosition="0"/>
    </format>
    <format dxfId="60">
      <pivotArea outline="0" collapsedLevelsAreSubtotals="1" fieldPosition="0"/>
    </format>
    <format dxfId="59">
      <pivotArea field="3" type="button" dataOnly="0" labelOnly="1" outline="0" axis="axisRow" fieldPosition="0"/>
    </format>
    <format dxfId="58">
      <pivotArea dataOnly="0" labelOnly="1" fieldPosition="0">
        <references count="1">
          <reference field="3" count="0"/>
        </references>
      </pivotArea>
    </format>
    <format dxfId="57">
      <pivotArea dataOnly="0" labelOnly="1" grandRow="1" outline="0" fieldPosition="0"/>
    </format>
    <format dxfId="5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5"/>
          </reference>
        </references>
      </pivotArea>
    </chartFormat>
    <chartFormat chart="3" format="4">
      <pivotArea type="data" outline="0" fieldPosition="0">
        <references count="2">
          <reference field="4294967294" count="1" selected="0">
            <x v="0"/>
          </reference>
          <reference field="3" count="1" selected="0">
            <x v="4"/>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3" format="7">
      <pivotArea type="data" outline="0" fieldPosition="0">
        <references count="2">
          <reference field="4294967294" count="1" selected="0">
            <x v="0"/>
          </reference>
          <reference field="3" count="1" selected="0">
            <x v="2"/>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3A2E7A-BD48-4945-9687-F4205D5B6587}"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I41:J47" firstHeaderRow="1" firstDataRow="2" firstDataCol="1"/>
  <pivotFields count="15">
    <pivotField dataField="1" showAll="0"/>
    <pivotField showAll="0"/>
    <pivotField showAll="0"/>
    <pivotField showAll="0">
      <items count="7">
        <item x="0"/>
        <item x="4"/>
        <item x="5"/>
        <item x="1"/>
        <item x="2"/>
        <item x="3"/>
        <item t="default"/>
      </items>
    </pivotField>
    <pivotField showAll="0">
      <items count="6">
        <item x="1"/>
        <item x="3"/>
        <item x="0"/>
        <item x="2"/>
        <item x="4"/>
        <item t="default"/>
      </items>
    </pivotField>
    <pivotField showAll="0"/>
    <pivotField showAll="0"/>
    <pivotField showAll="0">
      <items count="1198">
        <item x="437"/>
        <item x="69"/>
        <item x="621"/>
        <item x="98"/>
        <item x="318"/>
        <item x="340"/>
        <item x="766"/>
        <item x="201"/>
        <item x="591"/>
        <item x="43"/>
        <item x="747"/>
        <item x="965"/>
        <item x="1107"/>
        <item x="112"/>
        <item x="857"/>
        <item x="629"/>
        <item x="102"/>
        <item x="1081"/>
        <item x="1017"/>
        <item x="775"/>
        <item x="127"/>
        <item x="550"/>
        <item x="113"/>
        <item x="1175"/>
        <item x="828"/>
        <item x="714"/>
        <item x="416"/>
        <item x="23"/>
        <item x="135"/>
        <item x="596"/>
        <item x="153"/>
        <item x="115"/>
        <item x="799"/>
        <item x="771"/>
        <item x="726"/>
        <item x="783"/>
        <item x="1086"/>
        <item x="797"/>
        <item x="1024"/>
        <item x="191"/>
        <item x="855"/>
        <item x="105"/>
        <item x="351"/>
        <item x="961"/>
        <item x="441"/>
        <item x="109"/>
        <item x="728"/>
        <item x="503"/>
        <item x="511"/>
        <item x="781"/>
        <item x="493"/>
        <item x="662"/>
        <item x="768"/>
        <item x="1124"/>
        <item x="935"/>
        <item x="56"/>
        <item x="1106"/>
        <item x="1181"/>
        <item x="1192"/>
        <item x="936"/>
        <item x="1049"/>
        <item x="571"/>
        <item x="265"/>
        <item x="451"/>
        <item x="558"/>
        <item x="1158"/>
        <item x="1156"/>
        <item x="130"/>
        <item x="514"/>
        <item x="409"/>
        <item x="1013"/>
        <item x="335"/>
        <item x="663"/>
        <item x="3"/>
        <item x="939"/>
        <item x="564"/>
        <item x="333"/>
        <item x="181"/>
        <item x="1072"/>
        <item x="715"/>
        <item x="64"/>
        <item x="463"/>
        <item x="711"/>
        <item x="477"/>
        <item x="332"/>
        <item x="139"/>
        <item x="263"/>
        <item x="1053"/>
        <item x="959"/>
        <item x="522"/>
        <item x="963"/>
        <item x="52"/>
        <item x="289"/>
        <item x="403"/>
        <item x="30"/>
        <item x="177"/>
        <item x="710"/>
        <item x="281"/>
        <item x="432"/>
        <item x="894"/>
        <item x="481"/>
        <item x="1110"/>
        <item x="15"/>
        <item x="544"/>
        <item x="371"/>
        <item x="718"/>
        <item x="71"/>
        <item x="103"/>
        <item x="622"/>
        <item x="829"/>
        <item x="280"/>
        <item x="53"/>
        <item x="465"/>
        <item x="1057"/>
        <item x="840"/>
        <item x="972"/>
        <item x="787"/>
        <item x="1138"/>
        <item x="876"/>
        <item x="762"/>
        <item x="222"/>
        <item x="490"/>
        <item x="814"/>
        <item x="841"/>
        <item x="283"/>
        <item x="455"/>
        <item x="234"/>
        <item x="438"/>
        <item x="804"/>
        <item x="654"/>
        <item x="934"/>
        <item x="312"/>
        <item x="315"/>
        <item x="59"/>
        <item x="248"/>
        <item x="520"/>
        <item x="327"/>
        <item x="767"/>
        <item x="1185"/>
        <item x="326"/>
        <item x="808"/>
        <item x="660"/>
        <item x="1008"/>
        <item x="158"/>
        <item x="941"/>
        <item x="628"/>
        <item x="907"/>
        <item x="944"/>
        <item x="943"/>
        <item x="820"/>
        <item x="1065"/>
        <item x="274"/>
        <item x="519"/>
        <item x="665"/>
        <item x="227"/>
        <item x="319"/>
        <item x="686"/>
        <item x="971"/>
        <item x="217"/>
        <item x="76"/>
        <item x="1030"/>
        <item x="1012"/>
        <item x="448"/>
        <item x="1119"/>
        <item x="443"/>
        <item x="623"/>
        <item x="6"/>
        <item x="746"/>
        <item x="529"/>
        <item x="80"/>
        <item x="619"/>
        <item x="999"/>
        <item x="338"/>
        <item x="175"/>
        <item x="825"/>
        <item x="951"/>
        <item x="877"/>
        <item x="945"/>
        <item x="272"/>
        <item x="811"/>
        <item x="92"/>
        <item x="404"/>
        <item x="523"/>
        <item x="653"/>
        <item x="29"/>
        <item x="865"/>
        <item x="524"/>
        <item x="473"/>
        <item x="220"/>
        <item x="137"/>
        <item x="278"/>
        <item x="270"/>
        <item x="1177"/>
        <item x="691"/>
        <item x="121"/>
        <item x="1045"/>
        <item x="189"/>
        <item x="1105"/>
        <item x="1149"/>
        <item x="237"/>
        <item x="562"/>
        <item x="1133"/>
        <item x="168"/>
        <item x="902"/>
        <item x="250"/>
        <item x="542"/>
        <item x="66"/>
        <item x="573"/>
        <item x="1109"/>
        <item x="834"/>
        <item x="624"/>
        <item x="277"/>
        <item x="1103"/>
        <item x="655"/>
        <item x="273"/>
        <item x="525"/>
        <item x="798"/>
        <item x="264"/>
        <item x="846"/>
        <item x="433"/>
        <item x="192"/>
        <item x="361"/>
        <item x="897"/>
        <item x="215"/>
        <item x="81"/>
        <item x="100"/>
        <item x="967"/>
        <item x="89"/>
        <item x="740"/>
        <item x="567"/>
        <item x="162"/>
        <item x="863"/>
        <item x="94"/>
        <item x="1115"/>
        <item x="218"/>
        <item x="626"/>
        <item x="426"/>
        <item x="398"/>
        <item x="1082"/>
        <item x="816"/>
        <item x="1037"/>
        <item x="526"/>
        <item x="282"/>
        <item x="1167"/>
        <item x="1066"/>
        <item x="1011"/>
        <item x="869"/>
        <item x="572"/>
        <item x="761"/>
        <item x="580"/>
        <item x="1048"/>
        <item x="1157"/>
        <item x="557"/>
        <item x="165"/>
        <item x="566"/>
        <item x="1182"/>
        <item x="129"/>
        <item x="452"/>
        <item x="640"/>
        <item x="206"/>
        <item x="507"/>
        <item x="147"/>
        <item x="692"/>
        <item x="543"/>
        <item x="644"/>
        <item x="815"/>
        <item x="197"/>
        <item x="776"/>
        <item x="204"/>
        <item x="730"/>
        <item x="986"/>
        <item x="145"/>
        <item x="1003"/>
        <item x="131"/>
        <item x="535"/>
        <item x="267"/>
        <item x="179"/>
        <item x="689"/>
        <item x="909"/>
        <item x="786"/>
        <item x="962"/>
        <item x="1074"/>
        <item x="845"/>
        <item x="753"/>
        <item x="0"/>
        <item x="213"/>
        <item x="101"/>
        <item x="606"/>
        <item x="182"/>
        <item x="879"/>
        <item x="394"/>
        <item x="1077"/>
        <item x="739"/>
        <item x="807"/>
        <item x="440"/>
        <item x="36"/>
        <item x="806"/>
        <item x="576"/>
        <item x="178"/>
        <item x="317"/>
        <item x="889"/>
        <item x="637"/>
        <item x="259"/>
        <item x="518"/>
        <item x="884"/>
        <item x="322"/>
        <item x="602"/>
        <item x="1168"/>
        <item x="415"/>
        <item x="763"/>
        <item x="51"/>
        <item x="21"/>
        <item x="424"/>
        <item x="420"/>
        <item x="854"/>
        <item x="867"/>
        <item x="85"/>
        <item x="1173"/>
        <item x="460"/>
        <item x="954"/>
        <item x="899"/>
        <item x="1114"/>
        <item x="392"/>
        <item x="486"/>
        <item x="104"/>
        <item x="258"/>
        <item x="1078"/>
        <item x="688"/>
        <item x="122"/>
        <item x="928"/>
        <item x="423"/>
        <item x="303"/>
        <item x="693"/>
        <item x="1007"/>
        <item x="504"/>
        <item x="431"/>
        <item x="568"/>
        <item x="1044"/>
        <item x="501"/>
        <item x="1135"/>
        <item x="614"/>
        <item x="697"/>
        <item x="141"/>
        <item x="316"/>
        <item x="257"/>
        <item x="406"/>
        <item x="1143"/>
        <item x="411"/>
        <item x="1016"/>
        <item x="553"/>
        <item x="977"/>
        <item x="819"/>
        <item x="266"/>
        <item x="17"/>
        <item x="938"/>
        <item x="1062"/>
        <item x="906"/>
        <item x="87"/>
        <item x="926"/>
        <item x="49"/>
        <item x="1014"/>
        <item x="114"/>
        <item x="399"/>
        <item x="279"/>
        <item x="331"/>
        <item x="297"/>
        <item x="1073"/>
        <item x="154"/>
        <item x="682"/>
        <item x="417"/>
        <item x="1029"/>
        <item x="779"/>
        <item x="330"/>
        <item x="790"/>
        <item x="229"/>
        <item x="970"/>
        <item x="803"/>
        <item x="118"/>
        <item x="252"/>
        <item x="1047"/>
        <item x="380"/>
        <item x="888"/>
        <item x="293"/>
        <item x="764"/>
        <item x="657"/>
        <item x="574"/>
        <item x="1159"/>
        <item x="40"/>
        <item x="849"/>
        <item x="920"/>
        <item x="830"/>
        <item x="1184"/>
        <item x="1183"/>
        <item x="230"/>
        <item x="7"/>
        <item x="631"/>
        <item x="42"/>
        <item x="777"/>
        <item x="470"/>
        <item x="821"/>
        <item x="1094"/>
        <item x="271"/>
        <item x="140"/>
        <item x="713"/>
        <item x="563"/>
        <item x="997"/>
        <item x="881"/>
        <item x="308"/>
        <item x="365"/>
        <item x="824"/>
        <item x="898"/>
        <item x="288"/>
        <item x="202"/>
        <item x="446"/>
        <item x="1000"/>
        <item x="561"/>
        <item x="119"/>
        <item x="720"/>
        <item x="607"/>
        <item x="896"/>
        <item x="88"/>
        <item x="389"/>
        <item x="436"/>
        <item x="459"/>
        <item x="587"/>
        <item x="599"/>
        <item x="86"/>
        <item x="1147"/>
        <item x="221"/>
        <item x="449"/>
        <item x="916"/>
        <item x="594"/>
        <item x="789"/>
        <item x="1144"/>
        <item x="347"/>
        <item x="993"/>
        <item x="155"/>
        <item x="328"/>
        <item x="651"/>
        <item x="226"/>
        <item x="745"/>
        <item x="1165"/>
        <item x="760"/>
        <item x="323"/>
        <item x="737"/>
        <item x="370"/>
        <item x="419"/>
        <item x="919"/>
        <item x="262"/>
        <item x="1058"/>
        <item x="850"/>
        <item x="212"/>
        <item x="1179"/>
        <item x="510"/>
        <item x="63"/>
        <item x="512"/>
        <item x="991"/>
        <item x="430"/>
        <item x="314"/>
        <item x="694"/>
        <item x="598"/>
        <item x="468"/>
        <item x="1096"/>
        <item x="513"/>
        <item x="750"/>
        <item x="749"/>
        <item x="62"/>
        <item x="353"/>
        <item x="148"/>
        <item x="287"/>
        <item x="667"/>
        <item x="633"/>
        <item x="1041"/>
        <item x="343"/>
        <item x="1136"/>
        <item x="891"/>
        <item x="360"/>
        <item x="1084"/>
        <item x="19"/>
        <item x="615"/>
        <item x="238"/>
        <item x="868"/>
        <item x="947"/>
        <item x="1189"/>
        <item x="487"/>
        <item x="208"/>
        <item x="625"/>
        <item x="75"/>
        <item x="1113"/>
        <item x="833"/>
        <item x="233"/>
        <item x="636"/>
        <item x="666"/>
        <item x="377"/>
        <item x="848"/>
        <item x="58"/>
        <item x="712"/>
        <item x="1191"/>
        <item x="984"/>
        <item x="1155"/>
        <item x="858"/>
        <item x="1095"/>
        <item x="362"/>
        <item x="794"/>
        <item x="1118"/>
        <item x="454"/>
        <item x="795"/>
        <item x="648"/>
        <item x="126"/>
        <item x="482"/>
        <item x="570"/>
        <item x="780"/>
        <item x="675"/>
        <item x="864"/>
        <item x="224"/>
        <item x="307"/>
        <item x="837"/>
        <item x="1102"/>
        <item x="489"/>
        <item x="1064"/>
        <item x="27"/>
        <item x="1122"/>
        <item x="892"/>
        <item x="612"/>
        <item x="492"/>
        <item x="1075"/>
        <item x="422"/>
        <item x="408"/>
        <item x="900"/>
        <item x="871"/>
        <item x="872"/>
        <item x="836"/>
        <item x="255"/>
        <item x="352"/>
        <item x="390"/>
        <item x="1087"/>
        <item x="254"/>
        <item x="1026"/>
        <item x="260"/>
        <item x="620"/>
        <item x="860"/>
        <item x="1052"/>
        <item x="671"/>
        <item x="835"/>
        <item x="987"/>
        <item x="219"/>
        <item x="90"/>
        <item x="18"/>
        <item x="183"/>
        <item x="354"/>
        <item x="701"/>
        <item x="324"/>
        <item x="1128"/>
        <item x="239"/>
        <item x="313"/>
        <item x="456"/>
        <item x="502"/>
        <item x="695"/>
        <item x="956"/>
        <item x="1180"/>
        <item x="464"/>
        <item x="773"/>
        <item x="195"/>
        <item x="1126"/>
        <item x="117"/>
        <item x="96"/>
        <item x="670"/>
        <item x="727"/>
        <item x="171"/>
        <item x="386"/>
        <item x="592"/>
        <item x="1161"/>
        <item x="1125"/>
        <item x="1176"/>
        <item x="554"/>
        <item x="731"/>
        <item x="311"/>
        <item x="70"/>
        <item x="674"/>
        <item x="107"/>
        <item x="949"/>
        <item x="770"/>
        <item x="1104"/>
        <item x="345"/>
        <item x="412"/>
        <item x="549"/>
        <item x="853"/>
        <item x="46"/>
        <item x="755"/>
        <item x="912"/>
        <item x="826"/>
        <item x="1034"/>
        <item x="866"/>
        <item x="645"/>
        <item x="917"/>
        <item x="10"/>
        <item x="942"/>
        <item x="1130"/>
        <item x="35"/>
        <item x="243"/>
        <item x="632"/>
        <item x="232"/>
        <item x="933"/>
        <item x="708"/>
        <item x="672"/>
        <item x="299"/>
        <item x="22"/>
        <item x="506"/>
        <item x="1018"/>
        <item x="291"/>
        <item x="852"/>
        <item x="547"/>
        <item x="170"/>
        <item x="382"/>
        <item x="974"/>
        <item x="78"/>
        <item x="294"/>
        <item x="923"/>
        <item x="480"/>
        <item x="743"/>
        <item x="1131"/>
        <item x="685"/>
        <item x="466"/>
        <item x="1190"/>
        <item x="41"/>
        <item x="483"/>
        <item x="444"/>
        <item x="505"/>
        <item x="788"/>
        <item x="228"/>
        <item x="536"/>
        <item x="895"/>
        <item x="200"/>
        <item x="975"/>
        <item x="597"/>
        <item x="893"/>
        <item x="555"/>
        <item x="132"/>
        <item x="883"/>
        <item x="861"/>
        <item x="577"/>
        <item x="1"/>
        <item x="683"/>
        <item x="989"/>
        <item x="286"/>
        <item x="276"/>
        <item x="496"/>
        <item x="616"/>
        <item x="231"/>
        <item x="368"/>
        <item x="950"/>
        <item x="184"/>
        <item x="677"/>
        <item x="901"/>
        <item x="707"/>
        <item x="1178"/>
        <item x="186"/>
        <item x="407"/>
        <item x="886"/>
        <item x="1142"/>
        <item x="575"/>
        <item x="241"/>
        <item x="269"/>
        <item x="14"/>
        <item x="676"/>
        <item x="990"/>
        <item x="176"/>
        <item x="930"/>
        <item x="966"/>
        <item x="603"/>
        <item x="809"/>
        <item x="862"/>
        <item x="146"/>
        <item x="214"/>
        <item x="1038"/>
        <item x="859"/>
        <item x="166"/>
        <item x="1196"/>
        <item x="516"/>
        <item x="1141"/>
        <item x="434"/>
        <item x="508"/>
        <item x="1006"/>
        <item x="545"/>
        <item x="476"/>
        <item x="968"/>
        <item x="1129"/>
        <item x="998"/>
        <item x="652"/>
        <item x="649"/>
        <item x="138"/>
        <item x="13"/>
        <item x="610"/>
        <item x="992"/>
        <item x="1060"/>
        <item x="310"/>
        <item x="500"/>
        <item x="372"/>
        <item x="83"/>
        <item x="1069"/>
        <item x="589"/>
        <item x="643"/>
        <item x="471"/>
        <item x="1139"/>
        <item x="537"/>
        <item x="305"/>
        <item x="344"/>
        <item x="742"/>
        <item x="1153"/>
        <item x="1023"/>
        <item x="885"/>
        <item x="635"/>
        <item x="810"/>
        <item x="1112"/>
        <item x="851"/>
        <item x="757"/>
        <item x="706"/>
        <item x="79"/>
        <item x="1170"/>
        <item x="469"/>
        <item x="751"/>
        <item x="48"/>
        <item x="400"/>
        <item x="39"/>
        <item x="929"/>
        <item x="91"/>
        <item x="1132"/>
        <item x="494"/>
        <item x="74"/>
        <item x="548"/>
        <item x="955"/>
        <item x="741"/>
        <item x="976"/>
        <item x="696"/>
        <item x="782"/>
        <item x="932"/>
        <item x="937"/>
        <item x="1111"/>
        <item x="134"/>
        <item x="1088"/>
        <item x="1098"/>
        <item x="429"/>
        <item x="528"/>
        <item x="497"/>
        <item x="95"/>
        <item x="533"/>
        <item x="447"/>
        <item x="2"/>
        <item x="387"/>
        <item x="84"/>
        <item x="980"/>
        <item x="579"/>
        <item x="1127"/>
        <item x="196"/>
        <item x="559"/>
        <item x="160"/>
        <item x="285"/>
        <item x="839"/>
        <item x="54"/>
        <item x="1152"/>
        <item x="256"/>
        <item x="378"/>
        <item x="369"/>
        <item x="300"/>
        <item x="439"/>
        <item x="812"/>
        <item x="890"/>
        <item x="350"/>
        <item x="11"/>
        <item x="627"/>
        <item x="752"/>
        <item x="495"/>
        <item x="608"/>
        <item x="842"/>
        <item x="164"/>
        <item x="1169"/>
        <item x="754"/>
        <item x="698"/>
        <item x="167"/>
        <item x="427"/>
        <item x="275"/>
        <item x="1186"/>
        <item x="1121"/>
        <item x="792"/>
        <item x="1187"/>
        <item x="93"/>
        <item x="584"/>
        <item x="161"/>
        <item x="97"/>
        <item x="681"/>
        <item x="659"/>
        <item x="356"/>
        <item x="9"/>
        <item x="383"/>
        <item x="1137"/>
        <item x="199"/>
        <item x="801"/>
        <item x="57"/>
        <item x="34"/>
        <item x="1005"/>
        <item x="756"/>
        <item x="44"/>
        <item x="413"/>
        <item x="582"/>
        <item x="1163"/>
        <item x="304"/>
        <item x="802"/>
        <item x="298"/>
        <item x="969"/>
        <item x="367"/>
        <item x="251"/>
        <item x="552"/>
        <item x="593"/>
        <item x="453"/>
        <item x="405"/>
        <item x="366"/>
        <item x="1089"/>
        <item x="875"/>
        <item x="931"/>
        <item x="583"/>
        <item x="722"/>
        <item x="914"/>
        <item x="1068"/>
        <item x="120"/>
        <item x="679"/>
        <item x="957"/>
        <item x="1134"/>
        <item x="785"/>
        <item x="1172"/>
        <item x="321"/>
        <item x="205"/>
        <item x="133"/>
        <item x="534"/>
        <item x="1040"/>
        <item x="1085"/>
        <item x="1009"/>
        <item x="1046"/>
        <item x="630"/>
        <item x="736"/>
        <item x="73"/>
        <item x="384"/>
        <item x="605"/>
        <item x="995"/>
        <item x="791"/>
        <item x="12"/>
        <item x="565"/>
        <item x="207"/>
        <item x="124"/>
        <item x="805"/>
        <item x="187"/>
        <item x="735"/>
        <item x="778"/>
        <item x="475"/>
        <item x="235"/>
        <item x="1043"/>
        <item x="680"/>
        <item x="1076"/>
        <item x="1099"/>
        <item x="211"/>
        <item x="16"/>
        <item x="687"/>
        <item x="28"/>
        <item x="532"/>
        <item x="334"/>
        <item x="948"/>
        <item x="952"/>
        <item x="339"/>
        <item x="47"/>
        <item x="163"/>
        <item x="198"/>
        <item x="355"/>
        <item x="996"/>
        <item x="401"/>
        <item x="1151"/>
        <item x="769"/>
        <item x="159"/>
        <item x="1063"/>
        <item x="551"/>
        <item x="822"/>
        <item x="173"/>
        <item x="1100"/>
        <item x="699"/>
        <item x="517"/>
        <item x="1025"/>
        <item x="108"/>
        <item x="540"/>
        <item x="661"/>
        <item x="65"/>
        <item x="391"/>
        <item x="604"/>
        <item x="844"/>
        <item x="1164"/>
        <item x="194"/>
        <item x="364"/>
        <item x="721"/>
        <item x="223"/>
        <item x="50"/>
        <item x="1039"/>
        <item x="1080"/>
        <item x="818"/>
        <item x="435"/>
        <item x="210"/>
        <item x="600"/>
        <item x="1059"/>
        <item x="911"/>
        <item x="203"/>
        <item x="646"/>
        <item x="336"/>
        <item x="817"/>
        <item x="569"/>
        <item x="385"/>
        <item x="958"/>
        <item x="247"/>
        <item x="149"/>
        <item x="320"/>
        <item x="169"/>
        <item x="467"/>
        <item x="499"/>
        <item x="292"/>
        <item x="484"/>
        <item x="800"/>
        <item x="462"/>
        <item x="111"/>
        <item x="474"/>
        <item x="348"/>
        <item x="609"/>
        <item x="1195"/>
        <item x="960"/>
        <item x="924"/>
        <item x="337"/>
        <item x="723"/>
        <item x="1083"/>
        <item x="116"/>
        <item x="1092"/>
        <item x="774"/>
        <item x="1123"/>
        <item x="379"/>
        <item x="1056"/>
        <item x="831"/>
        <item x="994"/>
        <item x="744"/>
        <item x="397"/>
        <item x="880"/>
        <item x="585"/>
        <item x="664"/>
        <item x="395"/>
        <item x="918"/>
        <item x="458"/>
        <item x="595"/>
        <item x="1166"/>
        <item x="668"/>
        <item x="1145"/>
        <item x="302"/>
        <item x="1162"/>
        <item x="590"/>
        <item x="357"/>
        <item x="1154"/>
        <item x="1188"/>
        <item x="488"/>
        <item x="617"/>
        <item x="33"/>
        <item x="1001"/>
        <item x="461"/>
        <item x="618"/>
        <item x="421"/>
        <item x="843"/>
        <item x="72"/>
        <item x="1146"/>
        <item x="1071"/>
        <item x="442"/>
        <item x="927"/>
        <item x="381"/>
        <item x="172"/>
        <item x="709"/>
        <item x="717"/>
        <item x="733"/>
        <item x="1140"/>
        <item x="151"/>
        <item x="157"/>
        <item x="24"/>
        <item x="418"/>
        <item x="1194"/>
        <item x="546"/>
        <item x="905"/>
        <item x="26"/>
        <item x="1015"/>
        <item x="531"/>
        <item x="342"/>
        <item x="560"/>
        <item x="1028"/>
        <item x="60"/>
        <item x="678"/>
        <item x="1171"/>
        <item x="472"/>
        <item x="586"/>
        <item x="613"/>
        <item x="985"/>
        <item x="479"/>
        <item x="414"/>
        <item x="143"/>
        <item x="509"/>
        <item x="193"/>
        <item x="1022"/>
        <item x="704"/>
        <item x="31"/>
        <item x="702"/>
        <item x="838"/>
        <item x="581"/>
        <item x="1117"/>
        <item x="1019"/>
        <item x="20"/>
        <item x="268"/>
        <item x="647"/>
        <item x="1070"/>
        <item x="658"/>
        <item x="32"/>
        <item x="832"/>
        <item x="402"/>
        <item x="1021"/>
        <item x="673"/>
        <item x="734"/>
        <item x="1031"/>
        <item x="375"/>
        <item x="903"/>
        <item x="450"/>
        <item x="329"/>
        <item x="5"/>
        <item x="396"/>
        <item x="765"/>
        <item x="641"/>
        <item x="491"/>
        <item x="61"/>
        <item x="847"/>
        <item x="1193"/>
        <item x="521"/>
        <item x="99"/>
        <item x="1174"/>
        <item x="921"/>
        <item x="1042"/>
        <item x="981"/>
        <item x="759"/>
        <item x="556"/>
        <item x="887"/>
        <item x="538"/>
        <item x="1093"/>
        <item x="242"/>
        <item x="915"/>
        <item x="856"/>
        <item x="37"/>
        <item x="244"/>
        <item x="144"/>
        <item x="67"/>
        <item x="725"/>
        <item x="973"/>
        <item x="953"/>
        <item x="457"/>
        <item x="827"/>
        <item x="642"/>
        <item x="925"/>
        <item x="1116"/>
        <item x="246"/>
        <item x="913"/>
        <item x="874"/>
        <item x="982"/>
        <item x="209"/>
        <item x="690"/>
        <item x="979"/>
        <item x="527"/>
        <item x="705"/>
        <item x="539"/>
        <item x="1033"/>
        <item x="295"/>
        <item x="983"/>
        <item x="498"/>
        <item x="940"/>
        <item x="152"/>
        <item x="346"/>
        <item x="1036"/>
        <item x="253"/>
        <item x="882"/>
        <item x="813"/>
        <item x="1120"/>
        <item x="296"/>
        <item x="738"/>
        <item x="1067"/>
        <item x="656"/>
        <item x="284"/>
        <item x="77"/>
        <item x="1148"/>
        <item x="1101"/>
        <item x="309"/>
        <item x="358"/>
        <item x="240"/>
        <item x="306"/>
        <item x="388"/>
        <item x="341"/>
        <item x="724"/>
        <item x="1004"/>
        <item x="123"/>
        <item x="25"/>
        <item x="1061"/>
        <item x="485"/>
        <item x="588"/>
        <item x="639"/>
        <item x="1032"/>
        <item x="772"/>
        <item x="1090"/>
        <item x="578"/>
        <item x="180"/>
        <item x="249"/>
        <item x="1050"/>
        <item x="719"/>
        <item x="236"/>
        <item x="190"/>
        <item x="748"/>
        <item x="8"/>
        <item x="125"/>
        <item x="988"/>
        <item x="541"/>
        <item x="261"/>
        <item x="376"/>
        <item x="38"/>
        <item x="374"/>
        <item x="703"/>
        <item x="634"/>
        <item x="793"/>
        <item x="1010"/>
        <item x="1051"/>
        <item x="1054"/>
        <item x="669"/>
        <item x="425"/>
        <item x="4"/>
        <item x="301"/>
        <item x="758"/>
        <item x="174"/>
        <item x="216"/>
        <item x="1150"/>
        <item x="363"/>
        <item x="823"/>
        <item x="1160"/>
        <item x="878"/>
        <item x="478"/>
        <item x="650"/>
        <item x="873"/>
        <item x="638"/>
        <item x="393"/>
        <item x="908"/>
        <item x="428"/>
        <item x="978"/>
        <item x="796"/>
        <item x="68"/>
        <item x="82"/>
        <item x="716"/>
        <item x="359"/>
        <item x="188"/>
        <item x="1002"/>
        <item x="1055"/>
        <item x="110"/>
        <item x="732"/>
        <item x="515"/>
        <item x="922"/>
        <item x="601"/>
        <item x="445"/>
        <item x="55"/>
        <item x="964"/>
        <item x="1020"/>
        <item x="946"/>
        <item x="1097"/>
        <item x="136"/>
        <item x="156"/>
        <item x="106"/>
        <item x="1108"/>
        <item x="910"/>
        <item x="45"/>
        <item x="150"/>
        <item x="1091"/>
        <item x="373"/>
        <item x="185"/>
        <item x="700"/>
        <item x="142"/>
        <item x="784"/>
        <item x="611"/>
        <item x="225"/>
        <item x="349"/>
        <item x="729"/>
        <item x="1035"/>
        <item x="530"/>
        <item x="870"/>
        <item x="904"/>
        <item x="245"/>
        <item x="1079"/>
        <item x="1027"/>
        <item x="410"/>
        <item x="128"/>
        <item x="290"/>
        <item x="684"/>
        <item x="325"/>
        <item t="default"/>
      </items>
    </pivotField>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items count="5">
        <item x="2"/>
        <item x="0"/>
        <item x="3"/>
        <item x="1"/>
        <item t="default"/>
      </items>
    </pivotField>
    <pivotField showAll="0"/>
    <pivotField axis="axisCol" showAll="0">
      <items count="3">
        <item h="1" x="1"/>
        <item x="0"/>
        <item t="default"/>
      </items>
    </pivotField>
    <pivotField axis="axisRow" showAll="0">
      <items count="6">
        <item x="2"/>
        <item x="4"/>
        <item x="3"/>
        <item x="1"/>
        <item x="0"/>
        <item t="default"/>
      </items>
    </pivotField>
  </pivotFields>
  <rowFields count="1">
    <field x="14"/>
  </rowFields>
  <rowItems count="5">
    <i>
      <x/>
    </i>
    <i>
      <x v="1"/>
    </i>
    <i>
      <x v="2"/>
    </i>
    <i>
      <x v="3"/>
    </i>
    <i>
      <x v="4"/>
    </i>
  </rowItems>
  <colFields count="1">
    <field x="13"/>
  </colFields>
  <colItems count="1">
    <i>
      <x v="1"/>
    </i>
  </colItems>
  <dataFields count="1">
    <dataField name="Count of Employee_ID" fld="0" subtotal="count" baseField="0" baseItem="0"/>
  </dataFields>
  <formats count="8">
    <format dxfId="69">
      <pivotArea type="all" dataOnly="0" outline="0" fieldPosition="0"/>
    </format>
    <format dxfId="68">
      <pivotArea outline="0" collapsedLevelsAreSubtotals="1" fieldPosition="0"/>
    </format>
    <format dxfId="67">
      <pivotArea field="11" type="button" dataOnly="0" labelOnly="1" outline="0"/>
    </format>
    <format dxfId="66">
      <pivotArea outline="0" collapsedLevelsAreSubtotals="1" fieldPosition="0"/>
    </format>
    <format dxfId="65">
      <pivotArea type="all" dataOnly="0" outline="0" fieldPosition="0"/>
    </format>
    <format dxfId="64">
      <pivotArea outline="0" collapsedLevelsAreSubtotals="1" fieldPosition="0"/>
    </format>
    <format dxfId="63">
      <pivotArea field="3" type="button" dataOnly="0" labelOnly="1" outline="0"/>
    </format>
    <format dxfId="62">
      <pivotArea dataOnly="0" labelOnly="1" outline="0" axis="axisValues" fieldPosition="0"/>
    </format>
  </formats>
  <chartFormats count="6">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4" count="1" selected="0">
            <x v="2"/>
          </reference>
        </references>
      </pivotArea>
    </chartFormat>
    <chartFormat chart="22" format="4">
      <pivotArea type="data" outline="0" fieldPosition="0">
        <references count="2">
          <reference field="4294967294" count="1" selected="0">
            <x v="0"/>
          </reference>
          <reference field="14" count="1" selected="0">
            <x v="3"/>
          </reference>
        </references>
      </pivotArea>
    </chartFormat>
    <chartFormat chart="22" format="5">
      <pivotArea type="data" outline="0" fieldPosition="0">
        <references count="2">
          <reference field="4294967294" count="1" selected="0">
            <x v="0"/>
          </reference>
          <reference field="14" count="1" selected="0">
            <x v="1"/>
          </reference>
        </references>
      </pivotArea>
    </chartFormat>
    <chartFormat chart="22" format="6">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D4F238-BEB4-4E08-9F79-698E5AF8E38A}"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42:B48" firstHeaderRow="1" firstDataRow="1" firstDataCol="1"/>
  <pivotFields count="15">
    <pivotField showAll="0"/>
    <pivotField showAll="0"/>
    <pivotField showAll="0"/>
    <pivotField axis="axisRow" showAll="0" sortType="descending">
      <items count="7">
        <item x="0"/>
        <item x="4"/>
        <item x="5"/>
        <item x="1"/>
        <item x="2"/>
        <item x="3"/>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 showAll="0"/>
    <pivotField dataField="1" showAll="0"/>
    <pivotField showAll="0">
      <items count="21">
        <item x="1"/>
        <item x="16"/>
        <item x="11"/>
        <item x="18"/>
        <item x="6"/>
        <item x="0"/>
        <item x="2"/>
        <item x="14"/>
        <item x="13"/>
        <item x="12"/>
        <item x="19"/>
        <item x="15"/>
        <item x="10"/>
        <item x="4"/>
        <item x="8"/>
        <item x="3"/>
        <item x="17"/>
        <item x="7"/>
        <item x="9"/>
        <item x="5"/>
        <item t="default"/>
      </items>
    </pivotField>
    <pivotField showAll="0"/>
    <pivotField showAll="0"/>
    <pivotField showAll="0">
      <items count="5">
        <item x="2"/>
        <item x="0"/>
        <item x="3"/>
        <item x="1"/>
        <item t="default"/>
      </items>
    </pivotField>
    <pivotField showAll="0"/>
    <pivotField showAll="0">
      <items count="3">
        <item h="1" x="1"/>
        <item x="0"/>
        <item t="default"/>
      </items>
    </pivotField>
    <pivotField showAll="0"/>
  </pivotFields>
  <rowFields count="1">
    <field x="3"/>
  </rowFields>
  <rowItems count="6">
    <i>
      <x v="3"/>
    </i>
    <i>
      <x v="4"/>
    </i>
    <i>
      <x v="5"/>
    </i>
    <i>
      <x v="1"/>
    </i>
    <i>
      <x v="2"/>
    </i>
    <i>
      <x/>
    </i>
  </rowItems>
  <colItems count="1">
    <i/>
  </colItems>
  <dataFields count="1">
    <dataField name="Average of Monthly_Salary" fld="7" subtotal="average" baseField="3" baseItem="0" numFmtId="1"/>
  </dataFields>
  <formats count="9">
    <format dxfId="78">
      <pivotArea type="all" dataOnly="0" outline="0" fieldPosition="0"/>
    </format>
    <format dxfId="77">
      <pivotArea outline="0" collapsedLevelsAreSubtotals="1" fieldPosition="0"/>
    </format>
    <format dxfId="76">
      <pivotArea field="11" type="button" dataOnly="0" labelOnly="1" outline="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3" type="button" dataOnly="0" labelOnly="1" outline="0" axis="axisRow" fieldPosition="0"/>
    </format>
    <format dxfId="71">
      <pivotArea dataOnly="0" labelOnly="1" fieldPosition="0">
        <references count="1">
          <reference field="3" count="0"/>
        </references>
      </pivotArea>
    </format>
    <format dxfId="70">
      <pivotArea dataOnly="0" labelOnly="1" outline="0" axis="axisValues" fieldPosition="0"/>
    </format>
  </formats>
  <chartFormats count="7">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3" count="1" selected="0">
            <x v="4"/>
          </reference>
        </references>
      </pivotArea>
    </chartFormat>
    <chartFormat chart="18" format="4">
      <pivotArea type="data" outline="0" fieldPosition="0">
        <references count="2">
          <reference field="4294967294" count="1" selected="0">
            <x v="0"/>
          </reference>
          <reference field="3" count="1" selected="0">
            <x v="3"/>
          </reference>
        </references>
      </pivotArea>
    </chartFormat>
    <chartFormat chart="18" format="5">
      <pivotArea type="data" outline="0" fieldPosition="0">
        <references count="2">
          <reference field="4294967294" count="1" selected="0">
            <x v="0"/>
          </reference>
          <reference field="3" count="1" selected="0">
            <x v="2"/>
          </reference>
        </references>
      </pivotArea>
    </chartFormat>
    <chartFormat chart="18" format="6">
      <pivotArea type="data" outline="0" fieldPosition="0">
        <references count="2">
          <reference field="4294967294" count="1" selected="0">
            <x v="0"/>
          </reference>
          <reference field="3" count="1" selected="0">
            <x v="1"/>
          </reference>
        </references>
      </pivotArea>
    </chartFormat>
    <chartFormat chart="18"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C85AC4-431E-4964-9C0F-3A8F4A844296}" autoFormatId="16" applyNumberFormats="0" applyBorderFormats="0" applyFontFormats="0" applyPatternFormats="0" applyAlignmentFormats="0" applyWidthHeightFormats="0">
  <queryTableRefresh nextId="16">
    <queryTableFields count="15">
      <queryTableField id="1" name="Employee_ID" tableColumnId="1"/>
      <queryTableField id="2" name="Age" tableColumnId="2"/>
      <queryTableField id="3" name="Gender" tableColumnId="3"/>
      <queryTableField id="4" name="Department" tableColumnId="4"/>
      <queryTableField id="5" name="Job_Role" tableColumnId="5"/>
      <queryTableField id="6" name="Education_Level" tableColumnId="6"/>
      <queryTableField id="7" name="Marital_Status" tableColumnId="7"/>
      <queryTableField id="8" name="Monthly_Salary" tableColumnId="8"/>
      <queryTableField id="9" name="Years_at_Company" tableColumnId="9"/>
      <queryTableField id="10" name="Years_in_Current_Role" tableColumnId="10"/>
      <queryTableField id="11" name="Overtime" tableColumnId="11"/>
      <queryTableField id="12" name="Performance_Rating" tableColumnId="12"/>
      <queryTableField id="13" name="Training_Hours" tableColumnId="13"/>
      <queryTableField id="14" name="Attrition" tableColumnId="14"/>
      <queryTableField id="15" name="Job_Satisfaction_Scor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B3FE4563-D348-4142-96BC-8A4AF7ADC165}" sourceName="Job_Role">
  <pivotTables>
    <pivotTable tabId="3" name="PivotTable12"/>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894019056">
      <items count="5">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at_Company" xr10:uid="{70BDBC94-7A10-42DB-84D7-B21172C3883C}" sourceName="Years_at_Company">
  <pivotTables>
    <pivotTable tabId="3" name="PivotTable12"/>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894019056">
      <items count="20">
        <i x="1" s="1"/>
        <i x="16" s="1"/>
        <i x="11" s="1"/>
        <i x="18" s="1"/>
        <i x="6" s="1"/>
        <i x="0" s="1"/>
        <i x="2" s="1"/>
        <i x="14" s="1"/>
        <i x="13" s="1"/>
        <i x="12" s="1"/>
        <i x="19" s="1"/>
        <i x="15" s="1"/>
        <i x="10" s="1"/>
        <i x="4" s="1"/>
        <i x="8" s="1"/>
        <i x="3" s="1"/>
        <i x="17" s="1"/>
        <i x="7"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xr10:uid="{902D068D-009F-46CB-B704-A00AC3B6D393}" cache="Slicer_Job_Role" caption="Job_Role" rowHeight="247650"/>
  <slicer name="Years_at_Company" xr10:uid="{06F49C0C-96E1-4270-8798-D47E10AB669F}" cache="Slicer_Years_at_Company" caption="Years_at_Compan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1" xr10:uid="{82DB60B1-9EBA-459F-8522-FA8C18F4169D}" cache="Slicer_Job_Role" caption="Job_Role" style="SlicerStyleOther1" rowHeight="247650"/>
  <slicer name="Years_at_Company 1" xr10:uid="{F0F4E441-C7A9-400C-B2DE-7E86C139CAF3}" cache="Slicer_Years_at_Company" caption="Years_at_Company"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5B1BA1-DEC9-4CE4-ADAF-CC069DD35C1A}" name="HR_DATASET" displayName="HR_DATASET" ref="A1:O1201" tableType="queryTable" totalsRowShown="0">
  <autoFilter ref="A1:O1201" xr:uid="{D95B1BA1-DEC9-4CE4-ADAF-CC069DD35C1A}"/>
  <tableColumns count="15">
    <tableColumn id="1" xr3:uid="{CEE4AC57-6591-48A8-AF6A-82EDD9F64E0C}" uniqueName="1" name="Employee_ID" queryTableFieldId="1" dataDxfId="8"/>
    <tableColumn id="2" xr3:uid="{671B4AEF-A10B-478E-9773-5C902C0663A1}" uniqueName="2" name="Age" queryTableFieldId="2"/>
    <tableColumn id="3" xr3:uid="{36C7FA26-D22C-479F-AFE1-1FFA31895447}" uniqueName="3" name="Gender" queryTableFieldId="3" dataDxfId="7"/>
    <tableColumn id="4" xr3:uid="{2C22232C-CCF6-40E2-B25C-1825EF9C6FC9}" uniqueName="4" name="Department" queryTableFieldId="4" dataDxfId="6"/>
    <tableColumn id="5" xr3:uid="{C8090299-DCD8-48BE-AE5A-F94B74CEBE11}" uniqueName="5" name="Job_Role" queryTableFieldId="5" dataDxfId="5"/>
    <tableColumn id="6" xr3:uid="{8FB7C401-84BA-40EC-89D9-C2157496604A}" uniqueName="6" name="Education_Level" queryTableFieldId="6" dataDxfId="4"/>
    <tableColumn id="7" xr3:uid="{EDB7A43C-610C-4C9D-B5BD-9C6AFC6827A6}" uniqueName="7" name="Marital_Status" queryTableFieldId="7" dataDxfId="3"/>
    <tableColumn id="8" xr3:uid="{382D6624-1620-4142-80D5-A7DF3293DBCC}" uniqueName="8" name="Monthly_Salary" queryTableFieldId="8"/>
    <tableColumn id="9" xr3:uid="{A76902B2-3A93-4B16-8A3C-DAFB72548977}" uniqueName="9" name="Years_at_Company" queryTableFieldId="9"/>
    <tableColumn id="10" xr3:uid="{AFB42CB8-63EF-4E5B-86A6-89144B48343A}" uniqueName="10" name="Years_in_Current_Role" queryTableFieldId="10"/>
    <tableColumn id="11" xr3:uid="{316E3DA0-D2BD-4386-A573-6A891A4D81F4}" uniqueName="11" name="Overtime" queryTableFieldId="11" dataDxfId="2"/>
    <tableColumn id="12" xr3:uid="{4C27565F-668F-4579-A251-BA4CB5C015FF}" uniqueName="12" name="Performance_Rating" queryTableFieldId="12" dataDxfId="1"/>
    <tableColumn id="13" xr3:uid="{50C73DA0-2F91-4F99-B518-7E0190A6DB06}" uniqueName="13" name="Training_Hours" queryTableFieldId="13"/>
    <tableColumn id="14" xr3:uid="{0D3D1A0F-65C2-426D-BF39-CCCF4BFE63DA}" uniqueName="14" name="Attrition" queryTableFieldId="14" dataDxfId="0"/>
    <tableColumn id="15" xr3:uid="{EC388CAD-E746-40DD-BBF4-CDE54E46B955}" uniqueName="15" name="Job_Satisfaction_Score"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2E86-0F61-4F15-9FC5-A003E8691044}">
  <dimension ref="A1:P77"/>
  <sheetViews>
    <sheetView topLeftCell="G39" workbookViewId="0">
      <selection activeCell="I41" sqref="I41"/>
    </sheetView>
  </sheetViews>
  <sheetFormatPr defaultRowHeight="14.4" x14ac:dyDescent="0.3"/>
  <cols>
    <col min="1" max="1" width="12.44140625" bestFit="1" customWidth="1"/>
    <col min="2" max="2" width="19.109375" bestFit="1" customWidth="1"/>
    <col min="3" max="4" width="15.109375" bestFit="1" customWidth="1"/>
    <col min="5" max="5" width="22.6640625" bestFit="1" customWidth="1"/>
    <col min="6" max="6" width="18" customWidth="1"/>
    <col min="7" max="7" width="12.77734375" bestFit="1" customWidth="1"/>
    <col min="8" max="8" width="13" bestFit="1" customWidth="1"/>
    <col min="9" max="9" width="19.109375" bestFit="1" customWidth="1"/>
    <col min="10" max="10" width="16" bestFit="1" customWidth="1"/>
    <col min="11" max="11" width="10.5546875" bestFit="1" customWidth="1"/>
    <col min="12" max="12" width="27.21875" bestFit="1" customWidth="1"/>
    <col min="13" max="13" width="23.6640625" bestFit="1" customWidth="1"/>
    <col min="14" max="14" width="7.5546875" bestFit="1" customWidth="1"/>
    <col min="15" max="15" width="10.5546875" bestFit="1" customWidth="1"/>
  </cols>
  <sheetData>
    <row r="1" spans="1:16" x14ac:dyDescent="0.3">
      <c r="A1" s="1"/>
      <c r="B1" s="2"/>
      <c r="C1" s="2"/>
      <c r="D1" s="2"/>
      <c r="E1" s="2"/>
      <c r="F1" s="2"/>
      <c r="G1" s="2"/>
      <c r="H1" s="2"/>
      <c r="I1" s="2"/>
      <c r="J1" s="2"/>
      <c r="K1" s="3"/>
    </row>
    <row r="2" spans="1:16" ht="15" thickBot="1" x14ac:dyDescent="0.35">
      <c r="A2" s="4"/>
      <c r="K2" s="5"/>
    </row>
    <row r="3" spans="1:16" ht="15" thickBot="1" x14ac:dyDescent="0.35">
      <c r="A3" s="17" t="s">
        <v>1240</v>
      </c>
      <c r="B3" s="18" t="s">
        <v>1242</v>
      </c>
      <c r="C3" s="17" t="s">
        <v>1241</v>
      </c>
      <c r="E3" s="17" t="s">
        <v>1243</v>
      </c>
      <c r="G3" s="17" t="s">
        <v>1244</v>
      </c>
      <c r="H3" s="17" t="s">
        <v>1245</v>
      </c>
      <c r="I3" s="18" t="s">
        <v>1242</v>
      </c>
      <c r="J3" s="17" t="s">
        <v>1246</v>
      </c>
      <c r="K3" s="5"/>
    </row>
    <row r="4" spans="1:16" ht="15" thickBot="1" x14ac:dyDescent="0.35">
      <c r="A4" s="34">
        <v>1200</v>
      </c>
      <c r="B4" s="19" t="s">
        <v>21</v>
      </c>
      <c r="C4" s="34">
        <v>581</v>
      </c>
      <c r="D4" s="8">
        <f>(GETPIVOTDATA("Attrition",$B$3,"Attrition","Yes")/GETPIVOTDATA("Employee_ID",$A$3))*100</f>
        <v>48.416666666666671</v>
      </c>
      <c r="E4" s="30">
        <v>68559.260833333334</v>
      </c>
      <c r="G4" s="30">
        <v>40.553333333333335</v>
      </c>
      <c r="H4" s="30">
        <v>2.9750000000000001</v>
      </c>
      <c r="I4" s="19" t="s">
        <v>21</v>
      </c>
      <c r="J4" s="30">
        <v>640</v>
      </c>
      <c r="K4" s="5">
        <f>(GETPIVOTDATA("Overtime",$I$3,"Overtime","Yes")/GETPIVOTDATA("Employee_ID",$A$3))*100</f>
        <v>53.333333333333336</v>
      </c>
    </row>
    <row r="5" spans="1:16" x14ac:dyDescent="0.3">
      <c r="A5" s="4"/>
      <c r="K5" s="5"/>
    </row>
    <row r="6" spans="1:16" x14ac:dyDescent="0.3">
      <c r="A6" s="4"/>
      <c r="K6" s="5"/>
    </row>
    <row r="7" spans="1:16" x14ac:dyDescent="0.3">
      <c r="A7" s="4" t="s">
        <v>1247</v>
      </c>
      <c r="C7" t="s">
        <v>1248</v>
      </c>
      <c r="E7" t="s">
        <v>1249</v>
      </c>
      <c r="G7" t="s">
        <v>1250</v>
      </c>
      <c r="H7" t="s">
        <v>1251</v>
      </c>
      <c r="I7" t="s">
        <v>1252</v>
      </c>
      <c r="K7" s="5"/>
    </row>
    <row r="8" spans="1:16" x14ac:dyDescent="0.3">
      <c r="A8" s="4">
        <f>GETPIVOTDATA("Employee_ID",$A$3)</f>
        <v>1200</v>
      </c>
      <c r="C8" s="6">
        <f>D4</f>
        <v>48.416666666666671</v>
      </c>
      <c r="E8" s="6">
        <f>GETPIVOTDATA("Monthly_Salary",$E$3)</f>
        <v>68559.260833333334</v>
      </c>
      <c r="G8" s="6">
        <f>GETPIVOTDATA("Age",$G$3)</f>
        <v>40.553333333333335</v>
      </c>
      <c r="H8" s="7">
        <f>GETPIVOTDATA("Job_Satisfaction_Score",$H$3)</f>
        <v>2.9750000000000001</v>
      </c>
      <c r="I8" s="6">
        <f>K4</f>
        <v>53.333333333333336</v>
      </c>
      <c r="J8" s="8"/>
      <c r="K8" s="9"/>
    </row>
    <row r="9" spans="1:16" x14ac:dyDescent="0.3">
      <c r="A9" s="4"/>
      <c r="K9" s="9"/>
    </row>
    <row r="10" spans="1:16" ht="15" thickBot="1" x14ac:dyDescent="0.35">
      <c r="A10" s="10"/>
      <c r="B10" s="11"/>
      <c r="C10" s="11"/>
      <c r="D10" s="11"/>
      <c r="E10" s="11"/>
      <c r="F10" s="11"/>
      <c r="K10" s="5"/>
    </row>
    <row r="11" spans="1:16" ht="15" thickBot="1" x14ac:dyDescent="0.35">
      <c r="G11" s="1"/>
      <c r="H11" s="2"/>
      <c r="I11" s="2"/>
      <c r="J11" s="2"/>
      <c r="K11" s="2"/>
      <c r="L11" s="2"/>
      <c r="M11" s="2"/>
      <c r="N11" s="2"/>
      <c r="O11" s="2"/>
      <c r="P11" s="3"/>
    </row>
    <row r="12" spans="1:16" ht="15" thickBot="1" x14ac:dyDescent="0.35">
      <c r="A12" s="1"/>
      <c r="B12" s="2"/>
      <c r="C12" s="2"/>
      <c r="D12" s="2"/>
      <c r="E12" s="2"/>
      <c r="F12" s="2"/>
      <c r="G12" s="4"/>
      <c r="H12" s="18" t="s">
        <v>1242</v>
      </c>
      <c r="I12" s="17" t="s">
        <v>1240</v>
      </c>
      <c r="P12" s="5"/>
    </row>
    <row r="13" spans="1:16" ht="15" thickBot="1" x14ac:dyDescent="0.35">
      <c r="A13" s="4"/>
      <c r="G13" s="4"/>
      <c r="H13" s="19" t="s">
        <v>21</v>
      </c>
      <c r="I13" s="31">
        <v>581</v>
      </c>
      <c r="P13" s="5"/>
    </row>
    <row r="14" spans="1:16" ht="15" thickBot="1" x14ac:dyDescent="0.35">
      <c r="A14" s="18" t="s">
        <v>1242</v>
      </c>
      <c r="B14" s="17" t="s">
        <v>1240</v>
      </c>
      <c r="G14" s="4"/>
      <c r="H14" s="20" t="s">
        <v>35</v>
      </c>
      <c r="I14" s="32">
        <v>119</v>
      </c>
      <c r="P14" s="5"/>
    </row>
    <row r="15" spans="1:16" x14ac:dyDescent="0.3">
      <c r="A15" s="27" t="s">
        <v>35</v>
      </c>
      <c r="B15" s="31">
        <v>225</v>
      </c>
      <c r="G15" s="4"/>
      <c r="H15" s="21" t="s">
        <v>32</v>
      </c>
      <c r="I15" s="32">
        <v>106</v>
      </c>
      <c r="P15" s="5"/>
    </row>
    <row r="16" spans="1:16" x14ac:dyDescent="0.3">
      <c r="A16" s="29" t="s">
        <v>32</v>
      </c>
      <c r="B16" s="32">
        <v>210</v>
      </c>
      <c r="G16" s="4"/>
      <c r="H16" s="21" t="s">
        <v>25</v>
      </c>
      <c r="I16" s="32">
        <v>99</v>
      </c>
      <c r="P16" s="5"/>
    </row>
    <row r="17" spans="1:16" x14ac:dyDescent="0.3">
      <c r="A17" s="29" t="s">
        <v>25</v>
      </c>
      <c r="B17" s="32">
        <v>202</v>
      </c>
      <c r="G17" s="4"/>
      <c r="H17" s="21" t="s">
        <v>40</v>
      </c>
      <c r="I17" s="32">
        <v>93</v>
      </c>
      <c r="P17" s="5"/>
    </row>
    <row r="18" spans="1:16" x14ac:dyDescent="0.3">
      <c r="A18" s="29" t="s">
        <v>40</v>
      </c>
      <c r="B18" s="32">
        <v>199</v>
      </c>
      <c r="G18" s="4"/>
      <c r="H18" s="21" t="s">
        <v>44</v>
      </c>
      <c r="I18" s="32">
        <v>83</v>
      </c>
      <c r="P18" s="5"/>
    </row>
    <row r="19" spans="1:16" ht="15" thickBot="1" x14ac:dyDescent="0.35">
      <c r="A19" s="29" t="s">
        <v>44</v>
      </c>
      <c r="B19" s="32">
        <v>184</v>
      </c>
      <c r="G19" s="4"/>
      <c r="H19" s="22" t="s">
        <v>17</v>
      </c>
      <c r="I19" s="32">
        <v>81</v>
      </c>
      <c r="P19" s="5"/>
    </row>
    <row r="20" spans="1:16" ht="15" thickBot="1" x14ac:dyDescent="0.35">
      <c r="A20" s="28" t="s">
        <v>17</v>
      </c>
      <c r="B20" s="32">
        <v>180</v>
      </c>
      <c r="G20" s="4"/>
      <c r="H20" s="19" t="s">
        <v>1253</v>
      </c>
      <c r="I20" s="33">
        <v>581</v>
      </c>
      <c r="P20" s="5"/>
    </row>
    <row r="21" spans="1:16" ht="15" thickBot="1" x14ac:dyDescent="0.35">
      <c r="A21" s="19" t="s">
        <v>1253</v>
      </c>
      <c r="B21" s="33">
        <v>1200</v>
      </c>
      <c r="G21" s="4"/>
      <c r="P21" s="5"/>
    </row>
    <row r="22" spans="1:16" x14ac:dyDescent="0.3">
      <c r="A22" s="4"/>
      <c r="G22" s="4"/>
      <c r="P22" s="5"/>
    </row>
    <row r="23" spans="1:16" x14ac:dyDescent="0.3">
      <c r="A23" s="4"/>
      <c r="G23" s="4"/>
      <c r="P23" s="5"/>
    </row>
    <row r="24" spans="1:16" ht="15" thickBot="1" x14ac:dyDescent="0.35">
      <c r="A24" s="10"/>
      <c r="B24" s="11"/>
      <c r="C24" s="11"/>
      <c r="D24" s="11"/>
      <c r="E24" s="11"/>
      <c r="F24" s="11"/>
      <c r="G24" s="10"/>
      <c r="H24" s="11"/>
      <c r="I24" s="11"/>
      <c r="J24" s="11"/>
      <c r="K24" s="11"/>
      <c r="L24" s="11"/>
      <c r="M24" s="11"/>
      <c r="N24" s="11"/>
      <c r="O24" s="11"/>
      <c r="P24" s="12"/>
    </row>
    <row r="25" spans="1:16" ht="15" thickBot="1" x14ac:dyDescent="0.35"/>
    <row r="26" spans="1:16" ht="15" thickBot="1" x14ac:dyDescent="0.35">
      <c r="A26" s="1"/>
      <c r="B26" s="2"/>
      <c r="C26" s="2"/>
      <c r="D26" s="2"/>
      <c r="E26" s="2"/>
      <c r="F26" s="3"/>
      <c r="G26" s="1"/>
      <c r="H26" s="18" t="s">
        <v>1242</v>
      </c>
      <c r="I26" s="17" t="s">
        <v>1240</v>
      </c>
      <c r="J26" s="2"/>
      <c r="K26" s="2"/>
      <c r="L26" s="2"/>
      <c r="M26" s="2"/>
      <c r="N26" s="3"/>
    </row>
    <row r="27" spans="1:16" ht="15" thickBot="1" x14ac:dyDescent="0.35">
      <c r="A27" s="18" t="s">
        <v>1242</v>
      </c>
      <c r="B27" s="17" t="s">
        <v>1240</v>
      </c>
      <c r="F27" s="5"/>
      <c r="G27" s="4"/>
      <c r="H27" s="27" t="s">
        <v>16</v>
      </c>
      <c r="I27" s="31">
        <v>595</v>
      </c>
      <c r="N27" s="5"/>
    </row>
    <row r="28" spans="1:16" ht="15" thickBot="1" x14ac:dyDescent="0.35">
      <c r="A28" s="27" t="s">
        <v>45</v>
      </c>
      <c r="B28" s="31">
        <v>292</v>
      </c>
      <c r="F28" s="5"/>
      <c r="G28" s="4"/>
      <c r="H28" s="28" t="s">
        <v>24</v>
      </c>
      <c r="I28" s="33">
        <v>605</v>
      </c>
      <c r="N28" s="5"/>
    </row>
    <row r="29" spans="1:16" x14ac:dyDescent="0.3">
      <c r="A29" s="29" t="s">
        <v>22</v>
      </c>
      <c r="B29" s="32">
        <v>301</v>
      </c>
      <c r="F29" s="5"/>
      <c r="G29" s="4"/>
      <c r="N29" s="5"/>
    </row>
    <row r="30" spans="1:16" x14ac:dyDescent="0.3">
      <c r="A30" s="29" t="s">
        <v>47</v>
      </c>
      <c r="B30" s="32">
        <v>314</v>
      </c>
      <c r="F30" s="5"/>
      <c r="G30" s="4"/>
      <c r="N30" s="5"/>
    </row>
    <row r="31" spans="1:16" ht="15" thickBot="1" x14ac:dyDescent="0.35">
      <c r="A31" s="28" t="s">
        <v>30</v>
      </c>
      <c r="B31" s="33">
        <v>293</v>
      </c>
      <c r="F31" s="5"/>
      <c r="G31" s="4"/>
      <c r="N31" s="5"/>
    </row>
    <row r="32" spans="1:16" x14ac:dyDescent="0.3">
      <c r="A32" s="4"/>
      <c r="F32" s="5"/>
      <c r="G32" s="4"/>
      <c r="N32" s="5"/>
    </row>
    <row r="33" spans="1:14" x14ac:dyDescent="0.3">
      <c r="A33" s="4"/>
      <c r="F33" s="5"/>
      <c r="G33" s="4"/>
      <c r="N33" s="5"/>
    </row>
    <row r="34" spans="1:14" x14ac:dyDescent="0.3">
      <c r="A34" s="4"/>
      <c r="F34" s="5"/>
      <c r="G34" s="4"/>
      <c r="N34" s="5"/>
    </row>
    <row r="35" spans="1:14" x14ac:dyDescent="0.3">
      <c r="A35" s="4"/>
      <c r="F35" s="5"/>
      <c r="G35" s="4"/>
      <c r="N35" s="5"/>
    </row>
    <row r="36" spans="1:14" x14ac:dyDescent="0.3">
      <c r="A36" s="4"/>
      <c r="F36" s="5"/>
      <c r="G36" s="4"/>
      <c r="N36" s="5"/>
    </row>
    <row r="37" spans="1:14" x14ac:dyDescent="0.3">
      <c r="A37" s="4"/>
      <c r="F37" s="5"/>
      <c r="G37" s="4"/>
      <c r="N37" s="5"/>
    </row>
    <row r="38" spans="1:14" ht="15" thickBot="1" x14ac:dyDescent="0.35">
      <c r="A38" s="4"/>
      <c r="F38" s="5"/>
      <c r="G38" s="10"/>
      <c r="H38" s="11"/>
      <c r="I38" s="11"/>
      <c r="J38" s="11"/>
      <c r="K38" s="11"/>
      <c r="L38" s="11"/>
      <c r="M38" s="11"/>
      <c r="N38" s="12"/>
    </row>
    <row r="39" spans="1:14" ht="15" thickBot="1" x14ac:dyDescent="0.35">
      <c r="A39" s="4"/>
      <c r="F39" s="5"/>
    </row>
    <row r="40" spans="1:14" ht="15" thickBot="1" x14ac:dyDescent="0.35">
      <c r="A40" s="1"/>
      <c r="B40" s="2"/>
      <c r="C40" s="2"/>
      <c r="D40" s="2"/>
      <c r="E40" s="2"/>
      <c r="F40" s="2"/>
      <c r="G40" s="3"/>
    </row>
    <row r="41" spans="1:14" ht="15" thickBot="1" x14ac:dyDescent="0.35">
      <c r="A41" s="4"/>
      <c r="G41" s="5"/>
      <c r="I41" s="14" t="s">
        <v>1240</v>
      </c>
      <c r="J41" s="26" t="s">
        <v>1254</v>
      </c>
    </row>
    <row r="42" spans="1:14" ht="15" thickBot="1" x14ac:dyDescent="0.35">
      <c r="A42" s="18" t="s">
        <v>1242</v>
      </c>
      <c r="B42" s="17" t="s">
        <v>1243</v>
      </c>
      <c r="G42" s="5"/>
      <c r="I42" s="13" t="s">
        <v>1242</v>
      </c>
      <c r="J42" s="5" t="s">
        <v>21</v>
      </c>
    </row>
    <row r="43" spans="1:14" x14ac:dyDescent="0.3">
      <c r="A43" s="27" t="s">
        <v>25</v>
      </c>
      <c r="B43" s="23">
        <v>70260.985148514854</v>
      </c>
      <c r="G43" s="5"/>
      <c r="I43" s="15">
        <v>1</v>
      </c>
      <c r="J43" s="23">
        <v>125</v>
      </c>
    </row>
    <row r="44" spans="1:14" x14ac:dyDescent="0.3">
      <c r="A44" s="29" t="s">
        <v>32</v>
      </c>
      <c r="B44" s="24">
        <v>69736.876190476192</v>
      </c>
      <c r="G44" s="5"/>
      <c r="I44" s="15">
        <v>2</v>
      </c>
      <c r="J44" s="24">
        <v>111</v>
      </c>
    </row>
    <row r="45" spans="1:14" x14ac:dyDescent="0.3">
      <c r="A45" s="29" t="s">
        <v>35</v>
      </c>
      <c r="B45" s="24">
        <v>69394.64</v>
      </c>
      <c r="G45" s="5"/>
      <c r="I45" s="15">
        <v>3</v>
      </c>
      <c r="J45" s="24">
        <v>108</v>
      </c>
    </row>
    <row r="46" spans="1:14" x14ac:dyDescent="0.3">
      <c r="A46" s="29" t="s">
        <v>40</v>
      </c>
      <c r="B46" s="24">
        <v>68395.427135678387</v>
      </c>
      <c r="G46" s="5"/>
      <c r="I46" s="15">
        <v>4</v>
      </c>
      <c r="J46" s="24">
        <v>122</v>
      </c>
    </row>
    <row r="47" spans="1:14" ht="15" thickBot="1" x14ac:dyDescent="0.35">
      <c r="A47" s="29" t="s">
        <v>44</v>
      </c>
      <c r="B47" s="24">
        <v>66709.864130434784</v>
      </c>
      <c r="G47" s="5"/>
      <c r="I47" s="16">
        <v>5</v>
      </c>
      <c r="J47" s="25">
        <v>115</v>
      </c>
    </row>
    <row r="48" spans="1:14" ht="15" thickBot="1" x14ac:dyDescent="0.35">
      <c r="A48" s="28" t="s">
        <v>17</v>
      </c>
      <c r="B48" s="25">
        <v>66303.061111111107</v>
      </c>
      <c r="G48" s="5"/>
    </row>
    <row r="49" spans="1:7" x14ac:dyDescent="0.3">
      <c r="A49" s="4"/>
      <c r="G49" s="5"/>
    </row>
    <row r="50" spans="1:7" x14ac:dyDescent="0.3">
      <c r="A50" s="4"/>
      <c r="G50" s="5"/>
    </row>
    <row r="51" spans="1:7" x14ac:dyDescent="0.3">
      <c r="A51" s="4"/>
      <c r="G51" s="5"/>
    </row>
    <row r="52" spans="1:7" x14ac:dyDescent="0.3">
      <c r="A52" s="4"/>
      <c r="G52" s="5"/>
    </row>
    <row r="53" spans="1:7" ht="15" thickBot="1" x14ac:dyDescent="0.35">
      <c r="A53" s="4"/>
      <c r="G53" s="5"/>
    </row>
    <row r="54" spans="1:7" ht="15" thickBot="1" x14ac:dyDescent="0.35">
      <c r="A54" s="4"/>
      <c r="G54" s="5"/>
    </row>
    <row r="55" spans="1:7" ht="15" thickBot="1" x14ac:dyDescent="0.35">
      <c r="A55" s="10"/>
      <c r="B55" s="11"/>
      <c r="C55" s="11"/>
      <c r="D55" s="11"/>
      <c r="E55" s="11"/>
      <c r="F55" s="11"/>
      <c r="G55" s="12"/>
    </row>
    <row r="59" spans="1:7" ht="15" thickBot="1" x14ac:dyDescent="0.35"/>
    <row r="60" spans="1:7" ht="15" thickBot="1" x14ac:dyDescent="0.35"/>
    <row r="65" ht="15" thickBot="1" x14ac:dyDescent="0.35"/>
    <row r="66" ht="15" thickBot="1" x14ac:dyDescent="0.35"/>
    <row r="71" ht="15" thickBot="1" x14ac:dyDescent="0.35"/>
    <row r="72" ht="15" thickBot="1" x14ac:dyDescent="0.35"/>
    <row r="77" ht="15" thickBot="1" x14ac:dyDescent="0.35"/>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0F01-55BA-4C26-9FE7-1944F474D812}">
  <dimension ref="A1"/>
  <sheetViews>
    <sheetView showGridLines="0" tabSelected="1" workbookViewId="0">
      <selection activeCell="Q43" sqref="Q43"/>
    </sheetView>
  </sheetViews>
  <sheetFormatPr defaultRowHeight="14.4" x14ac:dyDescent="0.3"/>
  <cols>
    <col min="8" max="8" width="9.66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4D4D-2B86-4CB8-8B01-9849FD62ABEF}">
  <dimension ref="A1:O1201"/>
  <sheetViews>
    <sheetView workbookViewId="0"/>
  </sheetViews>
  <sheetFormatPr defaultRowHeight="14.4" x14ac:dyDescent="0.3"/>
  <cols>
    <col min="1" max="1" width="14" bestFit="1" customWidth="1"/>
    <col min="2" max="2" width="6.21875" bestFit="1" customWidth="1"/>
    <col min="3" max="3" width="9.33203125" bestFit="1" customWidth="1"/>
    <col min="4" max="4" width="13.21875" bestFit="1" customWidth="1"/>
    <col min="5" max="5" width="10.44140625" bestFit="1" customWidth="1"/>
    <col min="6" max="6" width="16.77734375" bestFit="1" customWidth="1"/>
    <col min="7" max="7" width="15.33203125" bestFit="1" customWidth="1"/>
    <col min="8" max="8" width="15.88671875" bestFit="1" customWidth="1"/>
    <col min="9" max="9" width="19" bestFit="1" customWidth="1"/>
    <col min="10" max="10" width="21.77734375" bestFit="1" customWidth="1"/>
    <col min="11" max="11" width="11" bestFit="1" customWidth="1"/>
    <col min="12" max="12" width="20.109375" bestFit="1" customWidth="1"/>
    <col min="13" max="13" width="15.5546875" bestFit="1" customWidth="1"/>
    <col min="14" max="14" width="10.109375" bestFit="1" customWidth="1"/>
    <col min="15" max="15" width="22.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59</v>
      </c>
      <c r="C2" t="s">
        <v>16</v>
      </c>
      <c r="D2" t="s">
        <v>17</v>
      </c>
      <c r="E2" t="s">
        <v>18</v>
      </c>
      <c r="F2" t="s">
        <v>19</v>
      </c>
      <c r="G2" t="s">
        <v>20</v>
      </c>
      <c r="H2">
        <v>42499</v>
      </c>
      <c r="I2">
        <v>5</v>
      </c>
      <c r="J2">
        <v>5</v>
      </c>
      <c r="K2" t="s">
        <v>21</v>
      </c>
      <c r="L2" t="s">
        <v>22</v>
      </c>
      <c r="M2">
        <v>81</v>
      </c>
      <c r="N2" t="s">
        <v>21</v>
      </c>
      <c r="O2">
        <v>5</v>
      </c>
    </row>
    <row r="3" spans="1:15" x14ac:dyDescent="0.3">
      <c r="A3" t="s">
        <v>23</v>
      </c>
      <c r="B3">
        <v>49</v>
      </c>
      <c r="C3" t="s">
        <v>24</v>
      </c>
      <c r="D3" t="s">
        <v>25</v>
      </c>
      <c r="E3" t="s">
        <v>26</v>
      </c>
      <c r="F3" t="s">
        <v>27</v>
      </c>
      <c r="G3" t="s">
        <v>28</v>
      </c>
      <c r="H3">
        <v>71628</v>
      </c>
      <c r="I3">
        <v>0</v>
      </c>
      <c r="J3">
        <v>2</v>
      </c>
      <c r="K3" t="s">
        <v>29</v>
      </c>
      <c r="L3" t="s">
        <v>30</v>
      </c>
      <c r="M3">
        <v>36</v>
      </c>
      <c r="N3" t="s">
        <v>29</v>
      </c>
      <c r="O3">
        <v>4</v>
      </c>
    </row>
    <row r="4" spans="1:15" x14ac:dyDescent="0.3">
      <c r="A4" t="s">
        <v>31</v>
      </c>
      <c r="B4">
        <v>35</v>
      </c>
      <c r="C4" t="s">
        <v>24</v>
      </c>
      <c r="D4" t="s">
        <v>32</v>
      </c>
      <c r="E4" t="s">
        <v>33</v>
      </c>
      <c r="F4" t="s">
        <v>19</v>
      </c>
      <c r="G4" t="s">
        <v>28</v>
      </c>
      <c r="H4">
        <v>81360</v>
      </c>
      <c r="I4">
        <v>6</v>
      </c>
      <c r="J4">
        <v>4</v>
      </c>
      <c r="K4" t="s">
        <v>29</v>
      </c>
      <c r="L4" t="s">
        <v>22</v>
      </c>
      <c r="M4">
        <v>84</v>
      </c>
      <c r="N4" t="s">
        <v>29</v>
      </c>
      <c r="O4">
        <v>5</v>
      </c>
    </row>
    <row r="5" spans="1:15" x14ac:dyDescent="0.3">
      <c r="A5" t="s">
        <v>34</v>
      </c>
      <c r="B5">
        <v>28</v>
      </c>
      <c r="C5" t="s">
        <v>24</v>
      </c>
      <c r="D5" t="s">
        <v>35</v>
      </c>
      <c r="E5" t="s">
        <v>26</v>
      </c>
      <c r="F5" t="s">
        <v>36</v>
      </c>
      <c r="G5" t="s">
        <v>28</v>
      </c>
      <c r="H5">
        <v>24603</v>
      </c>
      <c r="I5">
        <v>15</v>
      </c>
      <c r="J5">
        <v>8</v>
      </c>
      <c r="K5" t="s">
        <v>29</v>
      </c>
      <c r="L5" t="s">
        <v>30</v>
      </c>
      <c r="M5">
        <v>5</v>
      </c>
      <c r="N5" t="s">
        <v>21</v>
      </c>
      <c r="O5">
        <v>1</v>
      </c>
    </row>
    <row r="6" spans="1:15" x14ac:dyDescent="0.3">
      <c r="A6" t="s">
        <v>37</v>
      </c>
      <c r="B6">
        <v>41</v>
      </c>
      <c r="C6" t="s">
        <v>24</v>
      </c>
      <c r="D6" t="s">
        <v>25</v>
      </c>
      <c r="E6" t="s">
        <v>18</v>
      </c>
      <c r="F6" t="s">
        <v>38</v>
      </c>
      <c r="G6" t="s">
        <v>28</v>
      </c>
      <c r="H6">
        <v>113309</v>
      </c>
      <c r="I6">
        <v>13</v>
      </c>
      <c r="J6">
        <v>1</v>
      </c>
      <c r="K6" t="s">
        <v>21</v>
      </c>
      <c r="L6" t="s">
        <v>22</v>
      </c>
      <c r="M6">
        <v>81</v>
      </c>
      <c r="N6" t="s">
        <v>29</v>
      </c>
      <c r="O6">
        <v>1</v>
      </c>
    </row>
    <row r="7" spans="1:15" x14ac:dyDescent="0.3">
      <c r="A7" t="s">
        <v>39</v>
      </c>
      <c r="B7">
        <v>59</v>
      </c>
      <c r="C7" t="s">
        <v>24</v>
      </c>
      <c r="D7" t="s">
        <v>40</v>
      </c>
      <c r="E7" t="s">
        <v>41</v>
      </c>
      <c r="F7" t="s">
        <v>19</v>
      </c>
      <c r="G7" t="s">
        <v>20</v>
      </c>
      <c r="H7">
        <v>105473</v>
      </c>
      <c r="I7">
        <v>19</v>
      </c>
      <c r="J7">
        <v>1</v>
      </c>
      <c r="K7" t="s">
        <v>29</v>
      </c>
      <c r="L7" t="s">
        <v>22</v>
      </c>
      <c r="M7">
        <v>58</v>
      </c>
      <c r="N7" t="s">
        <v>29</v>
      </c>
      <c r="O7">
        <v>3</v>
      </c>
    </row>
    <row r="8" spans="1:15" x14ac:dyDescent="0.3">
      <c r="A8" t="s">
        <v>42</v>
      </c>
      <c r="B8">
        <v>39</v>
      </c>
      <c r="C8" t="s">
        <v>16</v>
      </c>
      <c r="D8" t="s">
        <v>35</v>
      </c>
      <c r="E8" t="s">
        <v>41</v>
      </c>
      <c r="F8" t="s">
        <v>27</v>
      </c>
      <c r="G8" t="s">
        <v>28</v>
      </c>
      <c r="H8">
        <v>32632</v>
      </c>
      <c r="I8">
        <v>19</v>
      </c>
      <c r="J8">
        <v>5</v>
      </c>
      <c r="K8" t="s">
        <v>21</v>
      </c>
      <c r="L8" t="s">
        <v>22</v>
      </c>
      <c r="M8">
        <v>15</v>
      </c>
      <c r="N8" t="s">
        <v>29</v>
      </c>
      <c r="O8">
        <v>2</v>
      </c>
    </row>
    <row r="9" spans="1:15" x14ac:dyDescent="0.3">
      <c r="A9" t="s">
        <v>43</v>
      </c>
      <c r="B9">
        <v>43</v>
      </c>
      <c r="C9" t="s">
        <v>24</v>
      </c>
      <c r="D9" t="s">
        <v>44</v>
      </c>
      <c r="E9" t="s">
        <v>18</v>
      </c>
      <c r="F9" t="s">
        <v>19</v>
      </c>
      <c r="G9" t="s">
        <v>20</v>
      </c>
      <c r="H9">
        <v>50607</v>
      </c>
      <c r="I9">
        <v>5</v>
      </c>
      <c r="J9">
        <v>5</v>
      </c>
      <c r="K9" t="s">
        <v>21</v>
      </c>
      <c r="L9" t="s">
        <v>45</v>
      </c>
      <c r="M9">
        <v>57</v>
      </c>
      <c r="N9" t="s">
        <v>21</v>
      </c>
      <c r="O9">
        <v>4</v>
      </c>
    </row>
    <row r="10" spans="1:15" x14ac:dyDescent="0.3">
      <c r="A10" t="s">
        <v>46</v>
      </c>
      <c r="B10">
        <v>31</v>
      </c>
      <c r="C10" t="s">
        <v>24</v>
      </c>
      <c r="D10" t="s">
        <v>40</v>
      </c>
      <c r="E10" t="s">
        <v>33</v>
      </c>
      <c r="F10" t="s">
        <v>38</v>
      </c>
      <c r="G10" t="s">
        <v>28</v>
      </c>
      <c r="H10">
        <v>111873</v>
      </c>
      <c r="I10">
        <v>4</v>
      </c>
      <c r="J10">
        <v>7</v>
      </c>
      <c r="K10" t="s">
        <v>21</v>
      </c>
      <c r="L10" t="s">
        <v>47</v>
      </c>
      <c r="M10">
        <v>12</v>
      </c>
      <c r="N10" t="s">
        <v>29</v>
      </c>
      <c r="O10">
        <v>2</v>
      </c>
    </row>
    <row r="11" spans="1:15" x14ac:dyDescent="0.3">
      <c r="A11" t="s">
        <v>48</v>
      </c>
      <c r="B11">
        <v>31</v>
      </c>
      <c r="C11" t="s">
        <v>24</v>
      </c>
      <c r="D11" t="s">
        <v>40</v>
      </c>
      <c r="E11" t="s">
        <v>41</v>
      </c>
      <c r="F11" t="s">
        <v>19</v>
      </c>
      <c r="G11" t="s">
        <v>28</v>
      </c>
      <c r="H11">
        <v>85756</v>
      </c>
      <c r="I11">
        <v>17</v>
      </c>
      <c r="J11">
        <v>1</v>
      </c>
      <c r="K11" t="s">
        <v>29</v>
      </c>
      <c r="L11" t="s">
        <v>22</v>
      </c>
      <c r="M11">
        <v>29</v>
      </c>
      <c r="N11" t="s">
        <v>29</v>
      </c>
      <c r="O11">
        <v>5</v>
      </c>
    </row>
    <row r="12" spans="1:15" x14ac:dyDescent="0.3">
      <c r="A12" t="s">
        <v>49</v>
      </c>
      <c r="B12">
        <v>44</v>
      </c>
      <c r="C12" t="s">
        <v>24</v>
      </c>
      <c r="D12" t="s">
        <v>44</v>
      </c>
      <c r="E12" t="s">
        <v>50</v>
      </c>
      <c r="F12" t="s">
        <v>19</v>
      </c>
      <c r="G12" t="s">
        <v>28</v>
      </c>
      <c r="H12">
        <v>66994</v>
      </c>
      <c r="I12">
        <v>14</v>
      </c>
      <c r="J12">
        <v>8</v>
      </c>
      <c r="K12" t="s">
        <v>29</v>
      </c>
      <c r="L12" t="s">
        <v>45</v>
      </c>
      <c r="M12">
        <v>44</v>
      </c>
      <c r="N12" t="s">
        <v>21</v>
      </c>
      <c r="O12">
        <v>4</v>
      </c>
    </row>
    <row r="13" spans="1:15" x14ac:dyDescent="0.3">
      <c r="A13" t="s">
        <v>51</v>
      </c>
      <c r="B13">
        <v>56</v>
      </c>
      <c r="C13" t="s">
        <v>16</v>
      </c>
      <c r="D13" t="s">
        <v>32</v>
      </c>
      <c r="E13" t="s">
        <v>41</v>
      </c>
      <c r="F13" t="s">
        <v>38</v>
      </c>
      <c r="G13" t="s">
        <v>20</v>
      </c>
      <c r="H13">
        <v>83382</v>
      </c>
      <c r="I13">
        <v>5</v>
      </c>
      <c r="J13">
        <v>1</v>
      </c>
      <c r="K13" t="s">
        <v>21</v>
      </c>
      <c r="L13" t="s">
        <v>45</v>
      </c>
      <c r="M13">
        <v>36</v>
      </c>
      <c r="N13" t="s">
        <v>21</v>
      </c>
      <c r="O13">
        <v>4</v>
      </c>
    </row>
    <row r="14" spans="1:15" x14ac:dyDescent="0.3">
      <c r="A14" t="s">
        <v>52</v>
      </c>
      <c r="B14">
        <v>44</v>
      </c>
      <c r="C14" t="s">
        <v>16</v>
      </c>
      <c r="D14" t="s">
        <v>40</v>
      </c>
      <c r="E14" t="s">
        <v>50</v>
      </c>
      <c r="F14" t="s">
        <v>36</v>
      </c>
      <c r="G14" t="s">
        <v>20</v>
      </c>
      <c r="H14">
        <v>90354</v>
      </c>
      <c r="I14">
        <v>18</v>
      </c>
      <c r="J14">
        <v>0</v>
      </c>
      <c r="K14" t="s">
        <v>21</v>
      </c>
      <c r="L14" t="s">
        <v>30</v>
      </c>
      <c r="M14">
        <v>92</v>
      </c>
      <c r="N14" t="s">
        <v>29</v>
      </c>
      <c r="O14">
        <v>1</v>
      </c>
    </row>
    <row r="15" spans="1:15" x14ac:dyDescent="0.3">
      <c r="A15" t="s">
        <v>53</v>
      </c>
      <c r="B15">
        <v>23</v>
      </c>
      <c r="C15" t="s">
        <v>16</v>
      </c>
      <c r="D15" t="s">
        <v>35</v>
      </c>
      <c r="E15" t="s">
        <v>18</v>
      </c>
      <c r="F15" t="s">
        <v>36</v>
      </c>
      <c r="G15" t="s">
        <v>20</v>
      </c>
      <c r="H15">
        <v>76344</v>
      </c>
      <c r="I15">
        <v>0</v>
      </c>
      <c r="J15">
        <v>9</v>
      </c>
      <c r="K15" t="s">
        <v>21</v>
      </c>
      <c r="L15" t="s">
        <v>47</v>
      </c>
      <c r="M15">
        <v>32</v>
      </c>
      <c r="N15" t="s">
        <v>29</v>
      </c>
      <c r="O15">
        <v>5</v>
      </c>
    </row>
    <row r="16" spans="1:15" x14ac:dyDescent="0.3">
      <c r="A16" t="s">
        <v>54</v>
      </c>
      <c r="B16">
        <v>42</v>
      </c>
      <c r="C16" t="s">
        <v>16</v>
      </c>
      <c r="D16" t="s">
        <v>25</v>
      </c>
      <c r="E16" t="s">
        <v>18</v>
      </c>
      <c r="F16" t="s">
        <v>38</v>
      </c>
      <c r="G16" t="s">
        <v>20</v>
      </c>
      <c r="H16">
        <v>73775</v>
      </c>
      <c r="I16">
        <v>0</v>
      </c>
      <c r="J16">
        <v>1</v>
      </c>
      <c r="K16" t="s">
        <v>29</v>
      </c>
      <c r="L16" t="s">
        <v>47</v>
      </c>
      <c r="M16">
        <v>82</v>
      </c>
      <c r="N16" t="s">
        <v>29</v>
      </c>
      <c r="O16">
        <v>1</v>
      </c>
    </row>
    <row r="17" spans="1:15" x14ac:dyDescent="0.3">
      <c r="A17" t="s">
        <v>55</v>
      </c>
      <c r="B17">
        <v>22</v>
      </c>
      <c r="C17" t="s">
        <v>24</v>
      </c>
      <c r="D17" t="s">
        <v>40</v>
      </c>
      <c r="E17" t="s">
        <v>41</v>
      </c>
      <c r="F17" t="s">
        <v>19</v>
      </c>
      <c r="G17" t="s">
        <v>28</v>
      </c>
      <c r="H17">
        <v>27349</v>
      </c>
      <c r="I17">
        <v>12</v>
      </c>
      <c r="J17">
        <v>6</v>
      </c>
      <c r="K17" t="s">
        <v>29</v>
      </c>
      <c r="L17" t="s">
        <v>30</v>
      </c>
      <c r="M17">
        <v>7</v>
      </c>
      <c r="N17" t="s">
        <v>21</v>
      </c>
      <c r="O17">
        <v>1</v>
      </c>
    </row>
    <row r="18" spans="1:15" x14ac:dyDescent="0.3">
      <c r="A18" t="s">
        <v>56</v>
      </c>
      <c r="B18">
        <v>44</v>
      </c>
      <c r="C18" t="s">
        <v>16</v>
      </c>
      <c r="D18" t="s">
        <v>35</v>
      </c>
      <c r="E18" t="s">
        <v>26</v>
      </c>
      <c r="F18" t="s">
        <v>38</v>
      </c>
      <c r="G18" t="s">
        <v>20</v>
      </c>
      <c r="H18">
        <v>91154</v>
      </c>
      <c r="I18">
        <v>2</v>
      </c>
      <c r="J18">
        <v>7</v>
      </c>
      <c r="K18" t="s">
        <v>21</v>
      </c>
      <c r="L18" t="s">
        <v>47</v>
      </c>
      <c r="M18">
        <v>95</v>
      </c>
      <c r="N18" t="s">
        <v>29</v>
      </c>
      <c r="O18">
        <v>3</v>
      </c>
    </row>
    <row r="19" spans="1:15" x14ac:dyDescent="0.3">
      <c r="A19" t="s">
        <v>57</v>
      </c>
      <c r="B19">
        <v>50</v>
      </c>
      <c r="C19" t="s">
        <v>24</v>
      </c>
      <c r="D19" t="s">
        <v>17</v>
      </c>
      <c r="E19" t="s">
        <v>50</v>
      </c>
      <c r="F19" t="s">
        <v>36</v>
      </c>
      <c r="G19" t="s">
        <v>20</v>
      </c>
      <c r="H19">
        <v>47464</v>
      </c>
      <c r="I19">
        <v>9</v>
      </c>
      <c r="J19">
        <v>4</v>
      </c>
      <c r="K19" t="s">
        <v>21</v>
      </c>
      <c r="L19" t="s">
        <v>30</v>
      </c>
      <c r="M19">
        <v>88</v>
      </c>
      <c r="N19" t="s">
        <v>21</v>
      </c>
      <c r="O19">
        <v>1</v>
      </c>
    </row>
    <row r="20" spans="1:15" x14ac:dyDescent="0.3">
      <c r="A20" t="s">
        <v>58</v>
      </c>
      <c r="B20">
        <v>58</v>
      </c>
      <c r="C20" t="s">
        <v>24</v>
      </c>
      <c r="D20" t="s">
        <v>35</v>
      </c>
      <c r="E20" t="s">
        <v>33</v>
      </c>
      <c r="F20" t="s">
        <v>27</v>
      </c>
      <c r="G20" t="s">
        <v>28</v>
      </c>
      <c r="H20">
        <v>62624</v>
      </c>
      <c r="I20">
        <v>2</v>
      </c>
      <c r="J20">
        <v>5</v>
      </c>
      <c r="K20" t="s">
        <v>29</v>
      </c>
      <c r="L20" t="s">
        <v>45</v>
      </c>
      <c r="M20">
        <v>83</v>
      </c>
      <c r="N20" t="s">
        <v>21</v>
      </c>
      <c r="O20">
        <v>2</v>
      </c>
    </row>
    <row r="21" spans="1:15" x14ac:dyDescent="0.3">
      <c r="A21" t="s">
        <v>59</v>
      </c>
      <c r="B21">
        <v>22</v>
      </c>
      <c r="C21" t="s">
        <v>24</v>
      </c>
      <c r="D21" t="s">
        <v>25</v>
      </c>
      <c r="E21" t="s">
        <v>41</v>
      </c>
      <c r="F21" t="s">
        <v>19</v>
      </c>
      <c r="G21" t="s">
        <v>28</v>
      </c>
      <c r="H21">
        <v>57344</v>
      </c>
      <c r="I21">
        <v>8</v>
      </c>
      <c r="J21">
        <v>0</v>
      </c>
      <c r="K21" t="s">
        <v>21</v>
      </c>
      <c r="L21" t="s">
        <v>45</v>
      </c>
      <c r="M21">
        <v>66</v>
      </c>
      <c r="N21" t="s">
        <v>29</v>
      </c>
      <c r="O21">
        <v>4</v>
      </c>
    </row>
    <row r="22" spans="1:15" x14ac:dyDescent="0.3">
      <c r="A22" t="s">
        <v>60</v>
      </c>
      <c r="B22">
        <v>41</v>
      </c>
      <c r="C22" t="s">
        <v>24</v>
      </c>
      <c r="D22" t="s">
        <v>35</v>
      </c>
      <c r="E22" t="s">
        <v>33</v>
      </c>
      <c r="F22" t="s">
        <v>36</v>
      </c>
      <c r="G22" t="s">
        <v>20</v>
      </c>
      <c r="H22">
        <v>103791</v>
      </c>
      <c r="I22">
        <v>7</v>
      </c>
      <c r="J22">
        <v>5</v>
      </c>
      <c r="K22" t="s">
        <v>29</v>
      </c>
      <c r="L22" t="s">
        <v>22</v>
      </c>
      <c r="M22">
        <v>31</v>
      </c>
      <c r="N22" t="s">
        <v>29</v>
      </c>
      <c r="O22">
        <v>1</v>
      </c>
    </row>
    <row r="23" spans="1:15" x14ac:dyDescent="0.3">
      <c r="A23" t="s">
        <v>61</v>
      </c>
      <c r="B23">
        <v>53</v>
      </c>
      <c r="C23" t="s">
        <v>24</v>
      </c>
      <c r="D23" t="s">
        <v>44</v>
      </c>
      <c r="E23" t="s">
        <v>41</v>
      </c>
      <c r="F23" t="s">
        <v>19</v>
      </c>
      <c r="G23" t="s">
        <v>28</v>
      </c>
      <c r="H23">
        <v>44299</v>
      </c>
      <c r="I23">
        <v>2</v>
      </c>
      <c r="J23">
        <v>7</v>
      </c>
      <c r="K23" t="s">
        <v>29</v>
      </c>
      <c r="L23" t="s">
        <v>30</v>
      </c>
      <c r="M23">
        <v>49</v>
      </c>
      <c r="N23" t="s">
        <v>21</v>
      </c>
      <c r="O23">
        <v>2</v>
      </c>
    </row>
    <row r="24" spans="1:15" x14ac:dyDescent="0.3">
      <c r="A24" t="s">
        <v>62</v>
      </c>
      <c r="B24">
        <v>32</v>
      </c>
      <c r="C24" t="s">
        <v>16</v>
      </c>
      <c r="D24" t="s">
        <v>25</v>
      </c>
      <c r="E24" t="s">
        <v>26</v>
      </c>
      <c r="F24" t="s">
        <v>38</v>
      </c>
      <c r="G24" t="s">
        <v>20</v>
      </c>
      <c r="H24">
        <v>67975</v>
      </c>
      <c r="I24">
        <v>12</v>
      </c>
      <c r="J24">
        <v>2</v>
      </c>
      <c r="K24" t="s">
        <v>21</v>
      </c>
      <c r="L24" t="s">
        <v>45</v>
      </c>
      <c r="M24">
        <v>96</v>
      </c>
      <c r="N24" t="s">
        <v>29</v>
      </c>
      <c r="O24">
        <v>5</v>
      </c>
    </row>
    <row r="25" spans="1:15" x14ac:dyDescent="0.3">
      <c r="A25" t="s">
        <v>63</v>
      </c>
      <c r="B25">
        <v>42</v>
      </c>
      <c r="C25" t="s">
        <v>16</v>
      </c>
      <c r="D25" t="s">
        <v>32</v>
      </c>
      <c r="E25" t="s">
        <v>26</v>
      </c>
      <c r="F25" t="s">
        <v>27</v>
      </c>
      <c r="G25" t="s">
        <v>28</v>
      </c>
      <c r="H25">
        <v>21462</v>
      </c>
      <c r="I25">
        <v>5</v>
      </c>
      <c r="J25">
        <v>0</v>
      </c>
      <c r="K25" t="s">
        <v>21</v>
      </c>
      <c r="L25" t="s">
        <v>45</v>
      </c>
      <c r="M25">
        <v>29</v>
      </c>
      <c r="N25" t="s">
        <v>29</v>
      </c>
      <c r="O25">
        <v>4</v>
      </c>
    </row>
    <row r="26" spans="1:15" x14ac:dyDescent="0.3">
      <c r="A26" t="s">
        <v>64</v>
      </c>
      <c r="B26">
        <v>45</v>
      </c>
      <c r="C26" t="s">
        <v>16</v>
      </c>
      <c r="D26" t="s">
        <v>17</v>
      </c>
      <c r="E26" t="s">
        <v>26</v>
      </c>
      <c r="F26" t="s">
        <v>38</v>
      </c>
      <c r="G26" t="s">
        <v>20</v>
      </c>
      <c r="H26">
        <v>101441</v>
      </c>
      <c r="I26">
        <v>12</v>
      </c>
      <c r="J26">
        <v>3</v>
      </c>
      <c r="K26" t="s">
        <v>29</v>
      </c>
      <c r="L26" t="s">
        <v>30</v>
      </c>
      <c r="M26">
        <v>65</v>
      </c>
      <c r="N26" t="s">
        <v>21</v>
      </c>
      <c r="O26">
        <v>5</v>
      </c>
    </row>
    <row r="27" spans="1:15" x14ac:dyDescent="0.3">
      <c r="A27" t="s">
        <v>65</v>
      </c>
      <c r="B27">
        <v>47</v>
      </c>
      <c r="C27" t="s">
        <v>16</v>
      </c>
      <c r="D27" t="s">
        <v>44</v>
      </c>
      <c r="E27" t="s">
        <v>26</v>
      </c>
      <c r="F27" t="s">
        <v>27</v>
      </c>
      <c r="G27" t="s">
        <v>20</v>
      </c>
      <c r="H27">
        <v>110456</v>
      </c>
      <c r="I27">
        <v>19</v>
      </c>
      <c r="J27">
        <v>0</v>
      </c>
      <c r="K27" t="s">
        <v>29</v>
      </c>
      <c r="L27" t="s">
        <v>45</v>
      </c>
      <c r="M27">
        <v>48</v>
      </c>
      <c r="N27" t="s">
        <v>29</v>
      </c>
      <c r="O27">
        <v>2</v>
      </c>
    </row>
    <row r="28" spans="1:15" x14ac:dyDescent="0.3">
      <c r="A28" t="s">
        <v>66</v>
      </c>
      <c r="B28">
        <v>48</v>
      </c>
      <c r="C28" t="s">
        <v>24</v>
      </c>
      <c r="D28" t="s">
        <v>32</v>
      </c>
      <c r="E28" t="s">
        <v>18</v>
      </c>
      <c r="F28" t="s">
        <v>19</v>
      </c>
      <c r="G28" t="s">
        <v>20</v>
      </c>
      <c r="H28">
        <v>101788</v>
      </c>
      <c r="I28">
        <v>19</v>
      </c>
      <c r="J28">
        <v>7</v>
      </c>
      <c r="K28" t="s">
        <v>29</v>
      </c>
      <c r="L28" t="s">
        <v>47</v>
      </c>
      <c r="M28">
        <v>50</v>
      </c>
      <c r="N28" t="s">
        <v>21</v>
      </c>
      <c r="O28">
        <v>5</v>
      </c>
    </row>
    <row r="29" spans="1:15" x14ac:dyDescent="0.3">
      <c r="A29" t="s">
        <v>67</v>
      </c>
      <c r="B29">
        <v>36</v>
      </c>
      <c r="C29" t="s">
        <v>16</v>
      </c>
      <c r="D29" t="s">
        <v>35</v>
      </c>
      <c r="E29" t="s">
        <v>18</v>
      </c>
      <c r="F29" t="s">
        <v>19</v>
      </c>
      <c r="G29" t="s">
        <v>20</v>
      </c>
      <c r="H29">
        <v>60581</v>
      </c>
      <c r="I29">
        <v>11</v>
      </c>
      <c r="J29">
        <v>4</v>
      </c>
      <c r="K29" t="s">
        <v>29</v>
      </c>
      <c r="L29" t="s">
        <v>45</v>
      </c>
      <c r="M29">
        <v>18</v>
      </c>
      <c r="N29" t="s">
        <v>29</v>
      </c>
      <c r="O29">
        <v>5</v>
      </c>
    </row>
    <row r="30" spans="1:15" x14ac:dyDescent="0.3">
      <c r="A30" t="s">
        <v>68</v>
      </c>
      <c r="B30">
        <v>35</v>
      </c>
      <c r="C30" t="s">
        <v>24</v>
      </c>
      <c r="D30" t="s">
        <v>25</v>
      </c>
      <c r="E30" t="s">
        <v>50</v>
      </c>
      <c r="F30" t="s">
        <v>38</v>
      </c>
      <c r="G30" t="s">
        <v>20</v>
      </c>
      <c r="H30">
        <v>91289</v>
      </c>
      <c r="I30">
        <v>12</v>
      </c>
      <c r="J30">
        <v>0</v>
      </c>
      <c r="K30" t="s">
        <v>29</v>
      </c>
      <c r="L30" t="s">
        <v>30</v>
      </c>
      <c r="M30">
        <v>12</v>
      </c>
      <c r="N30" t="s">
        <v>21</v>
      </c>
      <c r="O30">
        <v>5</v>
      </c>
    </row>
    <row r="31" spans="1:15" x14ac:dyDescent="0.3">
      <c r="A31" t="s">
        <v>69</v>
      </c>
      <c r="B31">
        <v>23</v>
      </c>
      <c r="C31" t="s">
        <v>16</v>
      </c>
      <c r="D31" t="s">
        <v>17</v>
      </c>
      <c r="E31" t="s">
        <v>33</v>
      </c>
      <c r="F31" t="s">
        <v>27</v>
      </c>
      <c r="G31" t="s">
        <v>28</v>
      </c>
      <c r="H31">
        <v>34175</v>
      </c>
      <c r="I31">
        <v>1</v>
      </c>
      <c r="J31">
        <v>7</v>
      </c>
      <c r="K31" t="s">
        <v>21</v>
      </c>
      <c r="L31" t="s">
        <v>47</v>
      </c>
      <c r="M31">
        <v>52</v>
      </c>
      <c r="N31" t="s">
        <v>21</v>
      </c>
      <c r="O31">
        <v>1</v>
      </c>
    </row>
    <row r="32" spans="1:15" x14ac:dyDescent="0.3">
      <c r="A32" t="s">
        <v>70</v>
      </c>
      <c r="B32">
        <v>57</v>
      </c>
      <c r="C32" t="s">
        <v>24</v>
      </c>
      <c r="D32" t="s">
        <v>44</v>
      </c>
      <c r="E32" t="s">
        <v>41</v>
      </c>
      <c r="F32" t="s">
        <v>27</v>
      </c>
      <c r="G32" t="s">
        <v>20</v>
      </c>
      <c r="H32">
        <v>26191</v>
      </c>
      <c r="I32">
        <v>15</v>
      </c>
      <c r="J32">
        <v>8</v>
      </c>
      <c r="K32" t="s">
        <v>29</v>
      </c>
      <c r="L32" t="s">
        <v>47</v>
      </c>
      <c r="M32">
        <v>18</v>
      </c>
      <c r="N32" t="s">
        <v>29</v>
      </c>
      <c r="O32">
        <v>1</v>
      </c>
    </row>
    <row r="33" spans="1:15" x14ac:dyDescent="0.3">
      <c r="A33" t="s">
        <v>71</v>
      </c>
      <c r="B33">
        <v>27</v>
      </c>
      <c r="C33" t="s">
        <v>24</v>
      </c>
      <c r="D33" t="s">
        <v>32</v>
      </c>
      <c r="E33" t="s">
        <v>41</v>
      </c>
      <c r="F33" t="s">
        <v>19</v>
      </c>
      <c r="G33" t="s">
        <v>20</v>
      </c>
      <c r="H33">
        <v>103434</v>
      </c>
      <c r="I33">
        <v>5</v>
      </c>
      <c r="J33">
        <v>9</v>
      </c>
      <c r="K33" t="s">
        <v>29</v>
      </c>
      <c r="L33" t="s">
        <v>45</v>
      </c>
      <c r="M33">
        <v>69</v>
      </c>
      <c r="N33" t="s">
        <v>21</v>
      </c>
      <c r="O33">
        <v>1</v>
      </c>
    </row>
    <row r="34" spans="1:15" x14ac:dyDescent="0.3">
      <c r="A34" t="s">
        <v>72</v>
      </c>
      <c r="B34">
        <v>41</v>
      </c>
      <c r="C34" t="s">
        <v>16</v>
      </c>
      <c r="D34" t="s">
        <v>32</v>
      </c>
      <c r="E34" t="s">
        <v>18</v>
      </c>
      <c r="F34" t="s">
        <v>38</v>
      </c>
      <c r="G34" t="s">
        <v>20</v>
      </c>
      <c r="H34">
        <v>104518</v>
      </c>
      <c r="I34">
        <v>18</v>
      </c>
      <c r="J34">
        <v>1</v>
      </c>
      <c r="K34" t="s">
        <v>29</v>
      </c>
      <c r="L34" t="s">
        <v>22</v>
      </c>
      <c r="M34">
        <v>84</v>
      </c>
      <c r="N34" t="s">
        <v>21</v>
      </c>
      <c r="O34">
        <v>4</v>
      </c>
    </row>
    <row r="35" spans="1:15" x14ac:dyDescent="0.3">
      <c r="A35" t="s">
        <v>73</v>
      </c>
      <c r="B35">
        <v>29</v>
      </c>
      <c r="C35" t="s">
        <v>24</v>
      </c>
      <c r="D35" t="s">
        <v>17</v>
      </c>
      <c r="E35" t="s">
        <v>41</v>
      </c>
      <c r="F35" t="s">
        <v>27</v>
      </c>
      <c r="G35" t="s">
        <v>20</v>
      </c>
      <c r="H35">
        <v>100158</v>
      </c>
      <c r="I35">
        <v>12</v>
      </c>
      <c r="J35">
        <v>8</v>
      </c>
      <c r="K35" t="s">
        <v>21</v>
      </c>
      <c r="L35" t="s">
        <v>47</v>
      </c>
      <c r="M35">
        <v>86</v>
      </c>
      <c r="N35" t="s">
        <v>29</v>
      </c>
      <c r="O35">
        <v>2</v>
      </c>
    </row>
    <row r="36" spans="1:15" x14ac:dyDescent="0.3">
      <c r="A36" t="s">
        <v>74</v>
      </c>
      <c r="B36">
        <v>59</v>
      </c>
      <c r="C36" t="s">
        <v>24</v>
      </c>
      <c r="D36" t="s">
        <v>35</v>
      </c>
      <c r="E36" t="s">
        <v>18</v>
      </c>
      <c r="F36" t="s">
        <v>19</v>
      </c>
      <c r="G36" t="s">
        <v>20</v>
      </c>
      <c r="H36">
        <v>86537</v>
      </c>
      <c r="I36">
        <v>16</v>
      </c>
      <c r="J36">
        <v>7</v>
      </c>
      <c r="K36" t="s">
        <v>21</v>
      </c>
      <c r="L36" t="s">
        <v>30</v>
      </c>
      <c r="M36">
        <v>11</v>
      </c>
      <c r="N36" t="s">
        <v>29</v>
      </c>
      <c r="O36">
        <v>1</v>
      </c>
    </row>
    <row r="37" spans="1:15" x14ac:dyDescent="0.3">
      <c r="A37" t="s">
        <v>75</v>
      </c>
      <c r="B37">
        <v>38</v>
      </c>
      <c r="C37" t="s">
        <v>16</v>
      </c>
      <c r="D37" t="s">
        <v>17</v>
      </c>
      <c r="E37" t="s">
        <v>50</v>
      </c>
      <c r="F37" t="s">
        <v>36</v>
      </c>
      <c r="G37" t="s">
        <v>28</v>
      </c>
      <c r="H37">
        <v>67645</v>
      </c>
      <c r="I37">
        <v>8</v>
      </c>
      <c r="J37">
        <v>6</v>
      </c>
      <c r="K37" t="s">
        <v>29</v>
      </c>
      <c r="L37" t="s">
        <v>22</v>
      </c>
      <c r="M37">
        <v>83</v>
      </c>
      <c r="N37" t="s">
        <v>29</v>
      </c>
      <c r="O37">
        <v>5</v>
      </c>
    </row>
    <row r="38" spans="1:15" x14ac:dyDescent="0.3">
      <c r="A38" t="s">
        <v>76</v>
      </c>
      <c r="B38">
        <v>24</v>
      </c>
      <c r="C38" t="s">
        <v>24</v>
      </c>
      <c r="D38" t="s">
        <v>32</v>
      </c>
      <c r="E38" t="s">
        <v>33</v>
      </c>
      <c r="F38" t="s">
        <v>38</v>
      </c>
      <c r="G38" t="s">
        <v>28</v>
      </c>
      <c r="H38">
        <v>43283</v>
      </c>
      <c r="I38">
        <v>16</v>
      </c>
      <c r="J38">
        <v>2</v>
      </c>
      <c r="K38" t="s">
        <v>29</v>
      </c>
      <c r="L38" t="s">
        <v>22</v>
      </c>
      <c r="M38">
        <v>92</v>
      </c>
      <c r="N38" t="s">
        <v>21</v>
      </c>
      <c r="O38">
        <v>5</v>
      </c>
    </row>
    <row r="39" spans="1:15" x14ac:dyDescent="0.3">
      <c r="A39" t="s">
        <v>77</v>
      </c>
      <c r="B39">
        <v>45</v>
      </c>
      <c r="C39" t="s">
        <v>16</v>
      </c>
      <c r="D39" t="s">
        <v>40</v>
      </c>
      <c r="E39" t="s">
        <v>50</v>
      </c>
      <c r="F39" t="s">
        <v>36</v>
      </c>
      <c r="G39" t="s">
        <v>20</v>
      </c>
      <c r="H39">
        <v>106971</v>
      </c>
      <c r="I39">
        <v>1</v>
      </c>
      <c r="J39">
        <v>1</v>
      </c>
      <c r="K39" t="s">
        <v>21</v>
      </c>
      <c r="L39" t="s">
        <v>47</v>
      </c>
      <c r="M39">
        <v>53</v>
      </c>
      <c r="N39" t="s">
        <v>21</v>
      </c>
      <c r="O39">
        <v>5</v>
      </c>
    </row>
    <row r="40" spans="1:15" x14ac:dyDescent="0.3">
      <c r="A40" t="s">
        <v>78</v>
      </c>
      <c r="B40">
        <v>34</v>
      </c>
      <c r="C40" t="s">
        <v>16</v>
      </c>
      <c r="D40" t="s">
        <v>44</v>
      </c>
      <c r="E40" t="s">
        <v>26</v>
      </c>
      <c r="F40" t="s">
        <v>38</v>
      </c>
      <c r="G40" t="s">
        <v>28</v>
      </c>
      <c r="H40">
        <v>112759</v>
      </c>
      <c r="I40">
        <v>18</v>
      </c>
      <c r="J40">
        <v>6</v>
      </c>
      <c r="K40" t="s">
        <v>21</v>
      </c>
      <c r="L40" t="s">
        <v>45</v>
      </c>
      <c r="M40">
        <v>59</v>
      </c>
      <c r="N40" t="s">
        <v>21</v>
      </c>
      <c r="O40">
        <v>5</v>
      </c>
    </row>
    <row r="41" spans="1:15" x14ac:dyDescent="0.3">
      <c r="A41" t="s">
        <v>79</v>
      </c>
      <c r="B41">
        <v>29</v>
      </c>
      <c r="C41" t="s">
        <v>16</v>
      </c>
      <c r="D41" t="s">
        <v>17</v>
      </c>
      <c r="E41" t="s">
        <v>26</v>
      </c>
      <c r="F41" t="s">
        <v>19</v>
      </c>
      <c r="G41" t="s">
        <v>20</v>
      </c>
      <c r="H41">
        <v>79123</v>
      </c>
      <c r="I41">
        <v>18</v>
      </c>
      <c r="J41">
        <v>4</v>
      </c>
      <c r="K41" t="s">
        <v>21</v>
      </c>
      <c r="L41" t="s">
        <v>22</v>
      </c>
      <c r="M41">
        <v>17</v>
      </c>
      <c r="N41" t="s">
        <v>29</v>
      </c>
      <c r="O41">
        <v>3</v>
      </c>
    </row>
    <row r="42" spans="1:15" x14ac:dyDescent="0.3">
      <c r="A42" t="s">
        <v>80</v>
      </c>
      <c r="B42">
        <v>46</v>
      </c>
      <c r="C42" t="s">
        <v>24</v>
      </c>
      <c r="D42" t="s">
        <v>32</v>
      </c>
      <c r="E42" t="s">
        <v>26</v>
      </c>
      <c r="F42" t="s">
        <v>27</v>
      </c>
      <c r="G42" t="s">
        <v>28</v>
      </c>
      <c r="H42">
        <v>50024</v>
      </c>
      <c r="I42">
        <v>6</v>
      </c>
      <c r="J42">
        <v>5</v>
      </c>
      <c r="K42" t="s">
        <v>21</v>
      </c>
      <c r="L42" t="s">
        <v>45</v>
      </c>
      <c r="M42">
        <v>77</v>
      </c>
      <c r="N42" t="s">
        <v>21</v>
      </c>
      <c r="O42">
        <v>4</v>
      </c>
    </row>
    <row r="43" spans="1:15" x14ac:dyDescent="0.3">
      <c r="A43" t="s">
        <v>81</v>
      </c>
      <c r="B43">
        <v>22</v>
      </c>
      <c r="C43" t="s">
        <v>24</v>
      </c>
      <c r="D43" t="s">
        <v>35</v>
      </c>
      <c r="E43" t="s">
        <v>50</v>
      </c>
      <c r="F43" t="s">
        <v>27</v>
      </c>
      <c r="G43" t="s">
        <v>28</v>
      </c>
      <c r="H43">
        <v>69630</v>
      </c>
      <c r="I43">
        <v>9</v>
      </c>
      <c r="J43">
        <v>3</v>
      </c>
      <c r="K43" t="s">
        <v>29</v>
      </c>
      <c r="L43" t="s">
        <v>47</v>
      </c>
      <c r="M43">
        <v>60</v>
      </c>
      <c r="N43" t="s">
        <v>21</v>
      </c>
      <c r="O43">
        <v>2</v>
      </c>
    </row>
    <row r="44" spans="1:15" x14ac:dyDescent="0.3">
      <c r="A44" t="s">
        <v>82</v>
      </c>
      <c r="B44">
        <v>40</v>
      </c>
      <c r="C44" t="s">
        <v>24</v>
      </c>
      <c r="D44" t="s">
        <v>32</v>
      </c>
      <c r="E44" t="s">
        <v>41</v>
      </c>
      <c r="F44" t="s">
        <v>27</v>
      </c>
      <c r="G44" t="s">
        <v>20</v>
      </c>
      <c r="H44">
        <v>50734</v>
      </c>
      <c r="I44">
        <v>9</v>
      </c>
      <c r="J44">
        <v>1</v>
      </c>
      <c r="K44" t="s">
        <v>21</v>
      </c>
      <c r="L44" t="s">
        <v>30</v>
      </c>
      <c r="M44">
        <v>60</v>
      </c>
      <c r="N44" t="s">
        <v>29</v>
      </c>
      <c r="O44">
        <v>2</v>
      </c>
    </row>
    <row r="45" spans="1:15" x14ac:dyDescent="0.3">
      <c r="A45" t="s">
        <v>83</v>
      </c>
      <c r="B45">
        <v>48</v>
      </c>
      <c r="C45" t="s">
        <v>16</v>
      </c>
      <c r="D45" t="s">
        <v>35</v>
      </c>
      <c r="E45" t="s">
        <v>33</v>
      </c>
      <c r="F45" t="s">
        <v>38</v>
      </c>
      <c r="G45" t="s">
        <v>28</v>
      </c>
      <c r="H45">
        <v>20515</v>
      </c>
      <c r="I45">
        <v>19</v>
      </c>
      <c r="J45">
        <v>8</v>
      </c>
      <c r="K45" t="s">
        <v>29</v>
      </c>
      <c r="L45" t="s">
        <v>22</v>
      </c>
      <c r="M45">
        <v>19</v>
      </c>
      <c r="N45" t="s">
        <v>21</v>
      </c>
      <c r="O45">
        <v>1</v>
      </c>
    </row>
    <row r="46" spans="1:15" x14ac:dyDescent="0.3">
      <c r="A46" t="s">
        <v>84</v>
      </c>
      <c r="B46">
        <v>27</v>
      </c>
      <c r="C46" t="s">
        <v>24</v>
      </c>
      <c r="D46" t="s">
        <v>17</v>
      </c>
      <c r="E46" t="s">
        <v>26</v>
      </c>
      <c r="F46" t="s">
        <v>19</v>
      </c>
      <c r="G46" t="s">
        <v>28</v>
      </c>
      <c r="H46">
        <v>86727</v>
      </c>
      <c r="I46">
        <v>8</v>
      </c>
      <c r="J46">
        <v>2</v>
      </c>
      <c r="K46" t="s">
        <v>29</v>
      </c>
      <c r="L46" t="s">
        <v>30</v>
      </c>
      <c r="M46">
        <v>61</v>
      </c>
      <c r="N46" t="s">
        <v>29</v>
      </c>
      <c r="O46">
        <v>3</v>
      </c>
    </row>
    <row r="47" spans="1:15" x14ac:dyDescent="0.3">
      <c r="A47" t="s">
        <v>85</v>
      </c>
      <c r="B47">
        <v>28</v>
      </c>
      <c r="C47" t="s">
        <v>16</v>
      </c>
      <c r="D47" t="s">
        <v>35</v>
      </c>
      <c r="E47" t="s">
        <v>26</v>
      </c>
      <c r="F47" t="s">
        <v>36</v>
      </c>
      <c r="G47" t="s">
        <v>20</v>
      </c>
      <c r="H47">
        <v>117800</v>
      </c>
      <c r="I47">
        <v>16</v>
      </c>
      <c r="J47">
        <v>6</v>
      </c>
      <c r="K47" t="s">
        <v>21</v>
      </c>
      <c r="L47" t="s">
        <v>45</v>
      </c>
      <c r="M47">
        <v>62</v>
      </c>
      <c r="N47" t="s">
        <v>29</v>
      </c>
      <c r="O47">
        <v>2</v>
      </c>
    </row>
    <row r="48" spans="1:15" x14ac:dyDescent="0.3">
      <c r="A48" t="s">
        <v>86</v>
      </c>
      <c r="B48">
        <v>55</v>
      </c>
      <c r="C48" t="s">
        <v>16</v>
      </c>
      <c r="D48" t="s">
        <v>25</v>
      </c>
      <c r="E48" t="s">
        <v>26</v>
      </c>
      <c r="F48" t="s">
        <v>19</v>
      </c>
      <c r="G48" t="s">
        <v>20</v>
      </c>
      <c r="H48">
        <v>66216</v>
      </c>
      <c r="I48">
        <v>14</v>
      </c>
      <c r="J48">
        <v>7</v>
      </c>
      <c r="K48" t="s">
        <v>21</v>
      </c>
      <c r="L48" t="s">
        <v>45</v>
      </c>
      <c r="M48">
        <v>39</v>
      </c>
      <c r="N48" t="s">
        <v>29</v>
      </c>
      <c r="O48">
        <v>4</v>
      </c>
    </row>
    <row r="49" spans="1:15" x14ac:dyDescent="0.3">
      <c r="A49" t="s">
        <v>87</v>
      </c>
      <c r="B49">
        <v>34</v>
      </c>
      <c r="C49" t="s">
        <v>24</v>
      </c>
      <c r="D49" t="s">
        <v>25</v>
      </c>
      <c r="E49" t="s">
        <v>33</v>
      </c>
      <c r="F49" t="s">
        <v>36</v>
      </c>
      <c r="G49" t="s">
        <v>28</v>
      </c>
      <c r="H49">
        <v>91833</v>
      </c>
      <c r="I49">
        <v>1</v>
      </c>
      <c r="J49">
        <v>1</v>
      </c>
      <c r="K49" t="s">
        <v>21</v>
      </c>
      <c r="L49" t="s">
        <v>30</v>
      </c>
      <c r="M49">
        <v>92</v>
      </c>
      <c r="N49" t="s">
        <v>21</v>
      </c>
      <c r="O49">
        <v>5</v>
      </c>
    </row>
    <row r="50" spans="1:15" x14ac:dyDescent="0.3">
      <c r="A50" t="s">
        <v>88</v>
      </c>
      <c r="B50">
        <v>37</v>
      </c>
      <c r="C50" t="s">
        <v>16</v>
      </c>
      <c r="D50" t="s">
        <v>25</v>
      </c>
      <c r="E50" t="s">
        <v>26</v>
      </c>
      <c r="F50" t="s">
        <v>38</v>
      </c>
      <c r="G50" t="s">
        <v>28</v>
      </c>
      <c r="H50">
        <v>78755</v>
      </c>
      <c r="I50">
        <v>3</v>
      </c>
      <c r="J50">
        <v>5</v>
      </c>
      <c r="K50" t="s">
        <v>21</v>
      </c>
      <c r="L50" t="s">
        <v>47</v>
      </c>
      <c r="M50">
        <v>20</v>
      </c>
      <c r="N50" t="s">
        <v>21</v>
      </c>
      <c r="O50">
        <v>1</v>
      </c>
    </row>
    <row r="51" spans="1:15" x14ac:dyDescent="0.3">
      <c r="A51" t="s">
        <v>89</v>
      </c>
      <c r="B51">
        <v>56</v>
      </c>
      <c r="C51" t="s">
        <v>24</v>
      </c>
      <c r="D51" t="s">
        <v>40</v>
      </c>
      <c r="E51" t="s">
        <v>33</v>
      </c>
      <c r="F51" t="s">
        <v>38</v>
      </c>
      <c r="G51" t="s">
        <v>28</v>
      </c>
      <c r="H51">
        <v>47856</v>
      </c>
      <c r="I51">
        <v>18</v>
      </c>
      <c r="J51">
        <v>7</v>
      </c>
      <c r="K51" t="s">
        <v>29</v>
      </c>
      <c r="L51" t="s">
        <v>47</v>
      </c>
      <c r="M51">
        <v>12</v>
      </c>
      <c r="N51" t="s">
        <v>21</v>
      </c>
      <c r="O51">
        <v>4</v>
      </c>
    </row>
    <row r="52" spans="1:15" x14ac:dyDescent="0.3">
      <c r="A52" t="s">
        <v>90</v>
      </c>
      <c r="B52">
        <v>24</v>
      </c>
      <c r="C52" t="s">
        <v>24</v>
      </c>
      <c r="D52" t="s">
        <v>17</v>
      </c>
      <c r="E52" t="s">
        <v>26</v>
      </c>
      <c r="F52" t="s">
        <v>36</v>
      </c>
      <c r="G52" t="s">
        <v>20</v>
      </c>
      <c r="H52">
        <v>93870</v>
      </c>
      <c r="I52">
        <v>16</v>
      </c>
      <c r="J52">
        <v>6</v>
      </c>
      <c r="K52" t="s">
        <v>29</v>
      </c>
      <c r="L52" t="s">
        <v>22</v>
      </c>
      <c r="M52">
        <v>97</v>
      </c>
      <c r="N52" t="s">
        <v>29</v>
      </c>
      <c r="O52">
        <v>2</v>
      </c>
    </row>
    <row r="53" spans="1:15" x14ac:dyDescent="0.3">
      <c r="A53" t="s">
        <v>91</v>
      </c>
      <c r="B53">
        <v>22</v>
      </c>
      <c r="C53" t="s">
        <v>24</v>
      </c>
      <c r="D53" t="s">
        <v>32</v>
      </c>
      <c r="E53" t="s">
        <v>50</v>
      </c>
      <c r="F53" t="s">
        <v>36</v>
      </c>
      <c r="G53" t="s">
        <v>28</v>
      </c>
      <c r="H53">
        <v>44162</v>
      </c>
      <c r="I53">
        <v>4</v>
      </c>
      <c r="J53">
        <v>2</v>
      </c>
      <c r="K53" t="s">
        <v>29</v>
      </c>
      <c r="L53" t="s">
        <v>22</v>
      </c>
      <c r="M53">
        <v>91</v>
      </c>
      <c r="N53" t="s">
        <v>29</v>
      </c>
      <c r="O53">
        <v>3</v>
      </c>
    </row>
    <row r="54" spans="1:15" x14ac:dyDescent="0.3">
      <c r="A54" t="s">
        <v>92</v>
      </c>
      <c r="B54">
        <v>26</v>
      </c>
      <c r="C54" t="s">
        <v>24</v>
      </c>
      <c r="D54" t="s">
        <v>32</v>
      </c>
      <c r="E54" t="s">
        <v>50</v>
      </c>
      <c r="F54" t="s">
        <v>36</v>
      </c>
      <c r="G54" t="s">
        <v>28</v>
      </c>
      <c r="H54">
        <v>26008</v>
      </c>
      <c r="I54">
        <v>6</v>
      </c>
      <c r="J54">
        <v>0</v>
      </c>
      <c r="K54" t="s">
        <v>21</v>
      </c>
      <c r="L54" t="s">
        <v>47</v>
      </c>
      <c r="M54">
        <v>49</v>
      </c>
      <c r="N54" t="s">
        <v>29</v>
      </c>
      <c r="O54">
        <v>1</v>
      </c>
    </row>
    <row r="55" spans="1:15" x14ac:dyDescent="0.3">
      <c r="A55" t="s">
        <v>93</v>
      </c>
      <c r="B55">
        <v>24</v>
      </c>
      <c r="C55" t="s">
        <v>24</v>
      </c>
      <c r="D55" t="s">
        <v>40</v>
      </c>
      <c r="E55" t="s">
        <v>33</v>
      </c>
      <c r="F55" t="s">
        <v>19</v>
      </c>
      <c r="G55" t="s">
        <v>28</v>
      </c>
      <c r="H55">
        <v>27987</v>
      </c>
      <c r="I55">
        <v>17</v>
      </c>
      <c r="J55">
        <v>5</v>
      </c>
      <c r="K55" t="s">
        <v>29</v>
      </c>
      <c r="L55" t="s">
        <v>47</v>
      </c>
      <c r="M55">
        <v>99</v>
      </c>
      <c r="N55" t="s">
        <v>21</v>
      </c>
      <c r="O55">
        <v>2</v>
      </c>
    </row>
    <row r="56" spans="1:15" x14ac:dyDescent="0.3">
      <c r="A56" t="s">
        <v>94</v>
      </c>
      <c r="B56">
        <v>49</v>
      </c>
      <c r="C56" t="s">
        <v>16</v>
      </c>
      <c r="D56" t="s">
        <v>35</v>
      </c>
      <c r="E56" t="s">
        <v>50</v>
      </c>
      <c r="F56" t="s">
        <v>36</v>
      </c>
      <c r="G56" t="s">
        <v>20</v>
      </c>
      <c r="H56">
        <v>82532</v>
      </c>
      <c r="I56">
        <v>6</v>
      </c>
      <c r="J56">
        <v>7</v>
      </c>
      <c r="K56" t="s">
        <v>21</v>
      </c>
      <c r="L56" t="s">
        <v>30</v>
      </c>
      <c r="M56">
        <v>44</v>
      </c>
      <c r="N56" t="s">
        <v>21</v>
      </c>
      <c r="O56">
        <v>1</v>
      </c>
    </row>
    <row r="57" spans="1:15" x14ac:dyDescent="0.3">
      <c r="A57" t="s">
        <v>95</v>
      </c>
      <c r="B57">
        <v>38</v>
      </c>
      <c r="C57" t="s">
        <v>16</v>
      </c>
      <c r="D57" t="s">
        <v>40</v>
      </c>
      <c r="E57" t="s">
        <v>33</v>
      </c>
      <c r="F57" t="s">
        <v>38</v>
      </c>
      <c r="G57" t="s">
        <v>20</v>
      </c>
      <c r="H57">
        <v>116502</v>
      </c>
      <c r="I57">
        <v>16</v>
      </c>
      <c r="J57">
        <v>5</v>
      </c>
      <c r="K57" t="s">
        <v>29</v>
      </c>
      <c r="L57" t="s">
        <v>45</v>
      </c>
      <c r="M57">
        <v>58</v>
      </c>
      <c r="N57" t="s">
        <v>21</v>
      </c>
      <c r="O57">
        <v>2</v>
      </c>
    </row>
    <row r="58" spans="1:15" x14ac:dyDescent="0.3">
      <c r="A58" t="s">
        <v>96</v>
      </c>
      <c r="B58">
        <v>46</v>
      </c>
      <c r="C58" t="s">
        <v>16</v>
      </c>
      <c r="D58" t="s">
        <v>35</v>
      </c>
      <c r="E58" t="s">
        <v>50</v>
      </c>
      <c r="F58" t="s">
        <v>38</v>
      </c>
      <c r="G58" t="s">
        <v>20</v>
      </c>
      <c r="H58">
        <v>23332</v>
      </c>
      <c r="I58">
        <v>6</v>
      </c>
      <c r="J58">
        <v>4</v>
      </c>
      <c r="K58" t="s">
        <v>21</v>
      </c>
      <c r="L58" t="s">
        <v>45</v>
      </c>
      <c r="M58">
        <v>18</v>
      </c>
      <c r="N58" t="s">
        <v>21</v>
      </c>
      <c r="O58">
        <v>5</v>
      </c>
    </row>
    <row r="59" spans="1:15" x14ac:dyDescent="0.3">
      <c r="A59" t="s">
        <v>97</v>
      </c>
      <c r="B59">
        <v>54</v>
      </c>
      <c r="C59" t="s">
        <v>24</v>
      </c>
      <c r="D59" t="s">
        <v>35</v>
      </c>
      <c r="E59" t="s">
        <v>50</v>
      </c>
      <c r="F59" t="s">
        <v>27</v>
      </c>
      <c r="G59" t="s">
        <v>20</v>
      </c>
      <c r="H59">
        <v>86323</v>
      </c>
      <c r="I59">
        <v>3</v>
      </c>
      <c r="J59">
        <v>7</v>
      </c>
      <c r="K59" t="s">
        <v>29</v>
      </c>
      <c r="L59" t="s">
        <v>22</v>
      </c>
      <c r="M59">
        <v>63</v>
      </c>
      <c r="N59" t="s">
        <v>21</v>
      </c>
      <c r="O59">
        <v>3</v>
      </c>
    </row>
    <row r="60" spans="1:15" x14ac:dyDescent="0.3">
      <c r="A60" t="s">
        <v>98</v>
      </c>
      <c r="B60">
        <v>30</v>
      </c>
      <c r="C60" t="s">
        <v>24</v>
      </c>
      <c r="D60" t="s">
        <v>44</v>
      </c>
      <c r="E60" t="s">
        <v>33</v>
      </c>
      <c r="F60" t="s">
        <v>36</v>
      </c>
      <c r="G60" t="s">
        <v>28</v>
      </c>
      <c r="H60">
        <v>58990</v>
      </c>
      <c r="I60">
        <v>7</v>
      </c>
      <c r="J60">
        <v>1</v>
      </c>
      <c r="K60" t="s">
        <v>29</v>
      </c>
      <c r="L60" t="s">
        <v>47</v>
      </c>
      <c r="M60">
        <v>98</v>
      </c>
      <c r="N60" t="s">
        <v>29</v>
      </c>
      <c r="O60">
        <v>5</v>
      </c>
    </row>
    <row r="61" spans="1:15" x14ac:dyDescent="0.3">
      <c r="A61" t="s">
        <v>99</v>
      </c>
      <c r="B61">
        <v>56</v>
      </c>
      <c r="C61" t="s">
        <v>24</v>
      </c>
      <c r="D61" t="s">
        <v>32</v>
      </c>
      <c r="E61" t="s">
        <v>41</v>
      </c>
      <c r="F61" t="s">
        <v>19</v>
      </c>
      <c r="G61" t="s">
        <v>20</v>
      </c>
      <c r="H61">
        <v>29873</v>
      </c>
      <c r="I61">
        <v>12</v>
      </c>
      <c r="J61">
        <v>0</v>
      </c>
      <c r="K61" t="s">
        <v>21</v>
      </c>
      <c r="L61" t="s">
        <v>30</v>
      </c>
      <c r="M61">
        <v>57</v>
      </c>
      <c r="N61" t="s">
        <v>21</v>
      </c>
      <c r="O61">
        <v>2</v>
      </c>
    </row>
    <row r="62" spans="1:15" x14ac:dyDescent="0.3">
      <c r="A62" t="s">
        <v>100</v>
      </c>
      <c r="B62">
        <v>34</v>
      </c>
      <c r="C62" t="s">
        <v>16</v>
      </c>
      <c r="D62" t="s">
        <v>25</v>
      </c>
      <c r="E62" t="s">
        <v>50</v>
      </c>
      <c r="F62" t="s">
        <v>19</v>
      </c>
      <c r="G62" t="s">
        <v>28</v>
      </c>
      <c r="H62">
        <v>102542</v>
      </c>
      <c r="I62">
        <v>3</v>
      </c>
      <c r="J62">
        <v>0</v>
      </c>
      <c r="K62" t="s">
        <v>29</v>
      </c>
      <c r="L62" t="s">
        <v>22</v>
      </c>
      <c r="M62">
        <v>31</v>
      </c>
      <c r="N62" t="s">
        <v>29</v>
      </c>
      <c r="O62">
        <v>4</v>
      </c>
    </row>
    <row r="63" spans="1:15" x14ac:dyDescent="0.3">
      <c r="A63" t="s">
        <v>101</v>
      </c>
      <c r="B63">
        <v>51</v>
      </c>
      <c r="C63" t="s">
        <v>24</v>
      </c>
      <c r="D63" t="s">
        <v>35</v>
      </c>
      <c r="E63" t="s">
        <v>26</v>
      </c>
      <c r="F63" t="s">
        <v>19</v>
      </c>
      <c r="G63" t="s">
        <v>28</v>
      </c>
      <c r="H63">
        <v>105761</v>
      </c>
      <c r="I63">
        <v>5</v>
      </c>
      <c r="J63">
        <v>3</v>
      </c>
      <c r="K63" t="s">
        <v>29</v>
      </c>
      <c r="L63" t="s">
        <v>30</v>
      </c>
      <c r="M63">
        <v>51</v>
      </c>
      <c r="N63" t="s">
        <v>29</v>
      </c>
      <c r="O63">
        <v>5</v>
      </c>
    </row>
    <row r="64" spans="1:15" x14ac:dyDescent="0.3">
      <c r="A64" t="s">
        <v>102</v>
      </c>
      <c r="B64">
        <v>35</v>
      </c>
      <c r="C64" t="s">
        <v>16</v>
      </c>
      <c r="D64" t="s">
        <v>44</v>
      </c>
      <c r="E64" t="s">
        <v>41</v>
      </c>
      <c r="F64" t="s">
        <v>27</v>
      </c>
      <c r="G64" t="s">
        <v>28</v>
      </c>
      <c r="H64">
        <v>56444</v>
      </c>
      <c r="I64">
        <v>4</v>
      </c>
      <c r="J64">
        <v>5</v>
      </c>
      <c r="K64" t="s">
        <v>21</v>
      </c>
      <c r="L64" t="s">
        <v>47</v>
      </c>
      <c r="M64">
        <v>84</v>
      </c>
      <c r="N64" t="s">
        <v>21</v>
      </c>
      <c r="O64">
        <v>4</v>
      </c>
    </row>
    <row r="65" spans="1:15" x14ac:dyDescent="0.3">
      <c r="A65" t="s">
        <v>103</v>
      </c>
      <c r="B65">
        <v>28</v>
      </c>
      <c r="C65" t="s">
        <v>16</v>
      </c>
      <c r="D65" t="s">
        <v>32</v>
      </c>
      <c r="E65" t="s">
        <v>33</v>
      </c>
      <c r="F65" t="s">
        <v>38</v>
      </c>
      <c r="G65" t="s">
        <v>28</v>
      </c>
      <c r="H65">
        <v>55340</v>
      </c>
      <c r="I65">
        <v>11</v>
      </c>
      <c r="J65">
        <v>8</v>
      </c>
      <c r="K65" t="s">
        <v>21</v>
      </c>
      <c r="L65" t="s">
        <v>47</v>
      </c>
      <c r="M65">
        <v>10</v>
      </c>
      <c r="N65" t="s">
        <v>29</v>
      </c>
      <c r="O65">
        <v>2</v>
      </c>
    </row>
    <row r="66" spans="1:15" x14ac:dyDescent="0.3">
      <c r="A66" t="s">
        <v>104</v>
      </c>
      <c r="B66">
        <v>34</v>
      </c>
      <c r="C66" t="s">
        <v>24</v>
      </c>
      <c r="D66" t="s">
        <v>25</v>
      </c>
      <c r="E66" t="s">
        <v>41</v>
      </c>
      <c r="F66" t="s">
        <v>19</v>
      </c>
      <c r="G66" t="s">
        <v>20</v>
      </c>
      <c r="H66">
        <v>25033</v>
      </c>
      <c r="I66">
        <v>3</v>
      </c>
      <c r="J66">
        <v>0</v>
      </c>
      <c r="K66" t="s">
        <v>21</v>
      </c>
      <c r="L66" t="s">
        <v>47</v>
      </c>
      <c r="M66">
        <v>59</v>
      </c>
      <c r="N66" t="s">
        <v>21</v>
      </c>
      <c r="O66">
        <v>3</v>
      </c>
    </row>
    <row r="67" spans="1:15" x14ac:dyDescent="0.3">
      <c r="A67" t="s">
        <v>105</v>
      </c>
      <c r="B67">
        <v>43</v>
      </c>
      <c r="C67" t="s">
        <v>24</v>
      </c>
      <c r="D67" t="s">
        <v>35</v>
      </c>
      <c r="E67" t="s">
        <v>18</v>
      </c>
      <c r="F67" t="s">
        <v>38</v>
      </c>
      <c r="G67" t="s">
        <v>20</v>
      </c>
      <c r="H67">
        <v>93324</v>
      </c>
      <c r="I67">
        <v>8</v>
      </c>
      <c r="J67">
        <v>0</v>
      </c>
      <c r="K67" t="s">
        <v>21</v>
      </c>
      <c r="L67" t="s">
        <v>45</v>
      </c>
      <c r="M67">
        <v>48</v>
      </c>
      <c r="N67" t="s">
        <v>21</v>
      </c>
      <c r="O67">
        <v>4</v>
      </c>
    </row>
    <row r="68" spans="1:15" x14ac:dyDescent="0.3">
      <c r="A68" t="s">
        <v>106</v>
      </c>
      <c r="B68">
        <v>41</v>
      </c>
      <c r="C68" t="s">
        <v>16</v>
      </c>
      <c r="D68" t="s">
        <v>35</v>
      </c>
      <c r="E68" t="s">
        <v>18</v>
      </c>
      <c r="F68" t="s">
        <v>27</v>
      </c>
      <c r="G68" t="s">
        <v>20</v>
      </c>
      <c r="H68">
        <v>35689</v>
      </c>
      <c r="I68">
        <v>3</v>
      </c>
      <c r="J68">
        <v>4</v>
      </c>
      <c r="K68" t="s">
        <v>21</v>
      </c>
      <c r="L68" t="s">
        <v>47</v>
      </c>
      <c r="M68">
        <v>22</v>
      </c>
      <c r="N68" t="s">
        <v>29</v>
      </c>
      <c r="O68">
        <v>2</v>
      </c>
    </row>
    <row r="69" spans="1:15" x14ac:dyDescent="0.3">
      <c r="A69" t="s">
        <v>107</v>
      </c>
      <c r="B69">
        <v>36</v>
      </c>
      <c r="C69" t="s">
        <v>24</v>
      </c>
      <c r="D69" t="s">
        <v>40</v>
      </c>
      <c r="E69" t="s">
        <v>50</v>
      </c>
      <c r="F69" t="s">
        <v>36</v>
      </c>
      <c r="G69" t="s">
        <v>20</v>
      </c>
      <c r="H69">
        <v>107134</v>
      </c>
      <c r="I69">
        <v>18</v>
      </c>
      <c r="J69">
        <v>9</v>
      </c>
      <c r="K69" t="s">
        <v>29</v>
      </c>
      <c r="L69" t="s">
        <v>22</v>
      </c>
      <c r="M69">
        <v>20</v>
      </c>
      <c r="N69" t="s">
        <v>21</v>
      </c>
      <c r="O69">
        <v>4</v>
      </c>
    </row>
    <row r="70" spans="1:15" x14ac:dyDescent="0.3">
      <c r="A70" t="s">
        <v>108</v>
      </c>
      <c r="B70">
        <v>38</v>
      </c>
      <c r="C70" t="s">
        <v>16</v>
      </c>
      <c r="D70" t="s">
        <v>40</v>
      </c>
      <c r="E70" t="s">
        <v>50</v>
      </c>
      <c r="F70" t="s">
        <v>36</v>
      </c>
      <c r="G70" t="s">
        <v>20</v>
      </c>
      <c r="H70">
        <v>115239</v>
      </c>
      <c r="I70">
        <v>13</v>
      </c>
      <c r="J70">
        <v>4</v>
      </c>
      <c r="K70" t="s">
        <v>21</v>
      </c>
      <c r="L70" t="s">
        <v>45</v>
      </c>
      <c r="M70">
        <v>16</v>
      </c>
      <c r="N70" t="s">
        <v>21</v>
      </c>
      <c r="O70">
        <v>5</v>
      </c>
    </row>
    <row r="71" spans="1:15" x14ac:dyDescent="0.3">
      <c r="A71" t="s">
        <v>109</v>
      </c>
      <c r="B71">
        <v>44</v>
      </c>
      <c r="C71" t="s">
        <v>24</v>
      </c>
      <c r="D71" t="s">
        <v>32</v>
      </c>
      <c r="E71" t="s">
        <v>26</v>
      </c>
      <c r="F71" t="s">
        <v>36</v>
      </c>
      <c r="G71" t="s">
        <v>28</v>
      </c>
      <c r="H71">
        <v>20066</v>
      </c>
      <c r="I71">
        <v>4</v>
      </c>
      <c r="J71">
        <v>4</v>
      </c>
      <c r="K71" t="s">
        <v>29</v>
      </c>
      <c r="L71" t="s">
        <v>30</v>
      </c>
      <c r="M71">
        <v>24</v>
      </c>
      <c r="N71" t="s">
        <v>29</v>
      </c>
      <c r="O71">
        <v>2</v>
      </c>
    </row>
    <row r="72" spans="1:15" x14ac:dyDescent="0.3">
      <c r="A72" t="s">
        <v>110</v>
      </c>
      <c r="B72">
        <v>46</v>
      </c>
      <c r="C72" t="s">
        <v>24</v>
      </c>
      <c r="D72" t="s">
        <v>25</v>
      </c>
      <c r="E72" t="s">
        <v>41</v>
      </c>
      <c r="F72" t="s">
        <v>19</v>
      </c>
      <c r="G72" t="s">
        <v>20</v>
      </c>
      <c r="H72">
        <v>65246</v>
      </c>
      <c r="I72">
        <v>17</v>
      </c>
      <c r="J72">
        <v>9</v>
      </c>
      <c r="K72" t="s">
        <v>29</v>
      </c>
      <c r="L72" t="s">
        <v>22</v>
      </c>
      <c r="M72">
        <v>49</v>
      </c>
      <c r="N72" t="s">
        <v>29</v>
      </c>
      <c r="O72">
        <v>5</v>
      </c>
    </row>
    <row r="73" spans="1:15" x14ac:dyDescent="0.3">
      <c r="A73" t="s">
        <v>111</v>
      </c>
      <c r="B73">
        <v>45</v>
      </c>
      <c r="C73" t="s">
        <v>16</v>
      </c>
      <c r="D73" t="s">
        <v>35</v>
      </c>
      <c r="E73" t="s">
        <v>18</v>
      </c>
      <c r="F73" t="s">
        <v>36</v>
      </c>
      <c r="G73" t="s">
        <v>20</v>
      </c>
      <c r="H73">
        <v>27533</v>
      </c>
      <c r="I73">
        <v>9</v>
      </c>
      <c r="J73">
        <v>5</v>
      </c>
      <c r="K73" t="s">
        <v>21</v>
      </c>
      <c r="L73" t="s">
        <v>22</v>
      </c>
      <c r="M73">
        <v>68</v>
      </c>
      <c r="N73" t="s">
        <v>29</v>
      </c>
      <c r="O73">
        <v>1</v>
      </c>
    </row>
    <row r="74" spans="1:15" x14ac:dyDescent="0.3">
      <c r="A74" t="s">
        <v>112</v>
      </c>
      <c r="B74">
        <v>49</v>
      </c>
      <c r="C74" t="s">
        <v>24</v>
      </c>
      <c r="D74" t="s">
        <v>32</v>
      </c>
      <c r="E74" t="s">
        <v>50</v>
      </c>
      <c r="F74" t="s">
        <v>19</v>
      </c>
      <c r="G74" t="s">
        <v>20</v>
      </c>
      <c r="H74">
        <v>100639</v>
      </c>
      <c r="I74">
        <v>18</v>
      </c>
      <c r="J74">
        <v>7</v>
      </c>
      <c r="K74" t="s">
        <v>29</v>
      </c>
      <c r="L74" t="s">
        <v>30</v>
      </c>
      <c r="M74">
        <v>63</v>
      </c>
      <c r="N74" t="s">
        <v>29</v>
      </c>
      <c r="O74">
        <v>2</v>
      </c>
    </row>
    <row r="75" spans="1:15" x14ac:dyDescent="0.3">
      <c r="A75" t="s">
        <v>113</v>
      </c>
      <c r="B75">
        <v>35</v>
      </c>
      <c r="C75" t="s">
        <v>16</v>
      </c>
      <c r="D75" t="s">
        <v>32</v>
      </c>
      <c r="E75" t="s">
        <v>41</v>
      </c>
      <c r="F75" t="s">
        <v>27</v>
      </c>
      <c r="G75" t="s">
        <v>20</v>
      </c>
      <c r="H75">
        <v>90152</v>
      </c>
      <c r="I75">
        <v>11</v>
      </c>
      <c r="J75">
        <v>2</v>
      </c>
      <c r="K75" t="s">
        <v>29</v>
      </c>
      <c r="L75" t="s">
        <v>45</v>
      </c>
      <c r="M75">
        <v>97</v>
      </c>
      <c r="N75" t="s">
        <v>29</v>
      </c>
      <c r="O75">
        <v>4</v>
      </c>
    </row>
    <row r="76" spans="1:15" x14ac:dyDescent="0.3">
      <c r="A76" t="s">
        <v>114</v>
      </c>
      <c r="B76">
        <v>21</v>
      </c>
      <c r="C76" t="s">
        <v>24</v>
      </c>
      <c r="D76" t="s">
        <v>17</v>
      </c>
      <c r="E76" t="s">
        <v>50</v>
      </c>
      <c r="F76" t="s">
        <v>27</v>
      </c>
      <c r="G76" t="s">
        <v>28</v>
      </c>
      <c r="H76">
        <v>79658</v>
      </c>
      <c r="I76">
        <v>17</v>
      </c>
      <c r="J76">
        <v>8</v>
      </c>
      <c r="K76" t="s">
        <v>21</v>
      </c>
      <c r="L76" t="s">
        <v>22</v>
      </c>
      <c r="M76">
        <v>98</v>
      </c>
      <c r="N76" t="s">
        <v>29</v>
      </c>
      <c r="O76">
        <v>1</v>
      </c>
    </row>
    <row r="77" spans="1:15" x14ac:dyDescent="0.3">
      <c r="A77" t="s">
        <v>115</v>
      </c>
      <c r="B77">
        <v>45</v>
      </c>
      <c r="C77" t="s">
        <v>16</v>
      </c>
      <c r="D77" t="s">
        <v>40</v>
      </c>
      <c r="E77" t="s">
        <v>50</v>
      </c>
      <c r="F77" t="s">
        <v>19</v>
      </c>
      <c r="G77" t="s">
        <v>28</v>
      </c>
      <c r="H77">
        <v>58498</v>
      </c>
      <c r="I77">
        <v>16</v>
      </c>
      <c r="J77">
        <v>0</v>
      </c>
      <c r="K77" t="s">
        <v>29</v>
      </c>
      <c r="L77" t="s">
        <v>22</v>
      </c>
      <c r="M77">
        <v>94</v>
      </c>
      <c r="N77" t="s">
        <v>21</v>
      </c>
      <c r="O77">
        <v>5</v>
      </c>
    </row>
    <row r="78" spans="1:15" x14ac:dyDescent="0.3">
      <c r="A78" t="s">
        <v>116</v>
      </c>
      <c r="B78">
        <v>27</v>
      </c>
      <c r="C78" t="s">
        <v>16</v>
      </c>
      <c r="D78" t="s">
        <v>25</v>
      </c>
      <c r="E78" t="s">
        <v>18</v>
      </c>
      <c r="F78" t="s">
        <v>38</v>
      </c>
      <c r="G78" t="s">
        <v>28</v>
      </c>
      <c r="H78">
        <v>31772</v>
      </c>
      <c r="I78">
        <v>10</v>
      </c>
      <c r="J78">
        <v>3</v>
      </c>
      <c r="K78" t="s">
        <v>21</v>
      </c>
      <c r="L78" t="s">
        <v>22</v>
      </c>
      <c r="M78">
        <v>26</v>
      </c>
      <c r="N78" t="s">
        <v>21</v>
      </c>
      <c r="O78">
        <v>5</v>
      </c>
    </row>
    <row r="79" spans="1:15" x14ac:dyDescent="0.3">
      <c r="A79" t="s">
        <v>117</v>
      </c>
      <c r="B79">
        <v>29</v>
      </c>
      <c r="C79" t="s">
        <v>24</v>
      </c>
      <c r="D79" t="s">
        <v>35</v>
      </c>
      <c r="E79" t="s">
        <v>18</v>
      </c>
      <c r="F79" t="s">
        <v>36</v>
      </c>
      <c r="G79" t="s">
        <v>28</v>
      </c>
      <c r="H79">
        <v>109385</v>
      </c>
      <c r="I79">
        <v>2</v>
      </c>
      <c r="J79">
        <v>8</v>
      </c>
      <c r="K79" t="s">
        <v>21</v>
      </c>
      <c r="L79" t="s">
        <v>45</v>
      </c>
      <c r="M79">
        <v>51</v>
      </c>
      <c r="N79" t="s">
        <v>21</v>
      </c>
      <c r="O79">
        <v>4</v>
      </c>
    </row>
    <row r="80" spans="1:15" x14ac:dyDescent="0.3">
      <c r="A80" t="s">
        <v>118</v>
      </c>
      <c r="B80">
        <v>44</v>
      </c>
      <c r="C80" t="s">
        <v>16</v>
      </c>
      <c r="D80" t="s">
        <v>32</v>
      </c>
      <c r="E80" t="s">
        <v>50</v>
      </c>
      <c r="F80" t="s">
        <v>36</v>
      </c>
      <c r="G80" t="s">
        <v>28</v>
      </c>
      <c r="H80">
        <v>69036</v>
      </c>
      <c r="I80">
        <v>16</v>
      </c>
      <c r="J80">
        <v>7</v>
      </c>
      <c r="K80" t="s">
        <v>21</v>
      </c>
      <c r="L80" t="s">
        <v>45</v>
      </c>
      <c r="M80">
        <v>33</v>
      </c>
      <c r="N80" t="s">
        <v>29</v>
      </c>
      <c r="O80">
        <v>1</v>
      </c>
    </row>
    <row r="81" spans="1:15" x14ac:dyDescent="0.3">
      <c r="A81" t="s">
        <v>119</v>
      </c>
      <c r="B81">
        <v>21</v>
      </c>
      <c r="C81" t="s">
        <v>24</v>
      </c>
      <c r="D81" t="s">
        <v>35</v>
      </c>
      <c r="E81" t="s">
        <v>33</v>
      </c>
      <c r="F81" t="s">
        <v>36</v>
      </c>
      <c r="G81" t="s">
        <v>20</v>
      </c>
      <c r="H81">
        <v>78531</v>
      </c>
      <c r="I81">
        <v>0</v>
      </c>
      <c r="J81">
        <v>9</v>
      </c>
      <c r="K81" t="s">
        <v>29</v>
      </c>
      <c r="L81" t="s">
        <v>45</v>
      </c>
      <c r="M81">
        <v>90</v>
      </c>
      <c r="N81" t="s">
        <v>21</v>
      </c>
      <c r="O81">
        <v>3</v>
      </c>
    </row>
    <row r="82" spans="1:15" x14ac:dyDescent="0.3">
      <c r="A82" t="s">
        <v>120</v>
      </c>
      <c r="B82">
        <v>28</v>
      </c>
      <c r="C82" t="s">
        <v>24</v>
      </c>
      <c r="D82" t="s">
        <v>17</v>
      </c>
      <c r="E82" t="s">
        <v>50</v>
      </c>
      <c r="F82" t="s">
        <v>19</v>
      </c>
      <c r="G82" t="s">
        <v>28</v>
      </c>
      <c r="H82">
        <v>32940</v>
      </c>
      <c r="I82">
        <v>14</v>
      </c>
      <c r="J82">
        <v>8</v>
      </c>
      <c r="K82" t="s">
        <v>29</v>
      </c>
      <c r="L82" t="s">
        <v>22</v>
      </c>
      <c r="M82">
        <v>49</v>
      </c>
      <c r="N82" t="s">
        <v>29</v>
      </c>
      <c r="O82">
        <v>4</v>
      </c>
    </row>
    <row r="83" spans="1:15" x14ac:dyDescent="0.3">
      <c r="A83" t="s">
        <v>121</v>
      </c>
      <c r="B83">
        <v>44</v>
      </c>
      <c r="C83" t="s">
        <v>24</v>
      </c>
      <c r="D83" t="s">
        <v>25</v>
      </c>
      <c r="E83" t="s">
        <v>50</v>
      </c>
      <c r="F83" t="s">
        <v>27</v>
      </c>
      <c r="G83" t="s">
        <v>28</v>
      </c>
      <c r="H83">
        <v>36932</v>
      </c>
      <c r="I83">
        <v>8</v>
      </c>
      <c r="J83">
        <v>0</v>
      </c>
      <c r="K83" t="s">
        <v>29</v>
      </c>
      <c r="L83" t="s">
        <v>47</v>
      </c>
      <c r="M83">
        <v>81</v>
      </c>
      <c r="N83" t="s">
        <v>21</v>
      </c>
      <c r="O83">
        <v>5</v>
      </c>
    </row>
    <row r="84" spans="1:15" x14ac:dyDescent="0.3">
      <c r="A84" t="s">
        <v>122</v>
      </c>
      <c r="B84">
        <v>31</v>
      </c>
      <c r="C84" t="s">
        <v>16</v>
      </c>
      <c r="D84" t="s">
        <v>32</v>
      </c>
      <c r="E84" t="s">
        <v>26</v>
      </c>
      <c r="F84" t="s">
        <v>36</v>
      </c>
      <c r="G84" t="s">
        <v>28</v>
      </c>
      <c r="H84">
        <v>115305</v>
      </c>
      <c r="I84">
        <v>14</v>
      </c>
      <c r="J84">
        <v>8</v>
      </c>
      <c r="K84" t="s">
        <v>29</v>
      </c>
      <c r="L84" t="s">
        <v>30</v>
      </c>
      <c r="M84">
        <v>13</v>
      </c>
      <c r="N84" t="s">
        <v>29</v>
      </c>
      <c r="O84">
        <v>2</v>
      </c>
    </row>
    <row r="85" spans="1:15" x14ac:dyDescent="0.3">
      <c r="A85" t="s">
        <v>123</v>
      </c>
      <c r="B85">
        <v>37</v>
      </c>
      <c r="C85" t="s">
        <v>16</v>
      </c>
      <c r="D85" t="s">
        <v>35</v>
      </c>
      <c r="E85" t="s">
        <v>26</v>
      </c>
      <c r="F85" t="s">
        <v>27</v>
      </c>
      <c r="G85" t="s">
        <v>20</v>
      </c>
      <c r="H85">
        <v>76827</v>
      </c>
      <c r="I85">
        <v>2</v>
      </c>
      <c r="J85">
        <v>2</v>
      </c>
      <c r="K85" t="s">
        <v>21</v>
      </c>
      <c r="L85" t="s">
        <v>47</v>
      </c>
      <c r="M85">
        <v>28</v>
      </c>
      <c r="N85" t="s">
        <v>21</v>
      </c>
      <c r="O85">
        <v>1</v>
      </c>
    </row>
    <row r="86" spans="1:15" x14ac:dyDescent="0.3">
      <c r="A86" t="s">
        <v>124</v>
      </c>
      <c r="B86">
        <v>28</v>
      </c>
      <c r="C86" t="s">
        <v>24</v>
      </c>
      <c r="D86" t="s">
        <v>40</v>
      </c>
      <c r="E86" t="s">
        <v>26</v>
      </c>
      <c r="F86" t="s">
        <v>36</v>
      </c>
      <c r="G86" t="s">
        <v>20</v>
      </c>
      <c r="H86">
        <v>81431</v>
      </c>
      <c r="I86">
        <v>18</v>
      </c>
      <c r="J86">
        <v>9</v>
      </c>
      <c r="K86" t="s">
        <v>29</v>
      </c>
      <c r="L86" t="s">
        <v>45</v>
      </c>
      <c r="M86">
        <v>19</v>
      </c>
      <c r="N86" t="s">
        <v>29</v>
      </c>
      <c r="O86">
        <v>3</v>
      </c>
    </row>
    <row r="87" spans="1:15" x14ac:dyDescent="0.3">
      <c r="A87" t="s">
        <v>125</v>
      </c>
      <c r="B87">
        <v>55</v>
      </c>
      <c r="C87" t="s">
        <v>24</v>
      </c>
      <c r="D87" t="s">
        <v>17</v>
      </c>
      <c r="E87" t="s">
        <v>33</v>
      </c>
      <c r="F87" t="s">
        <v>36</v>
      </c>
      <c r="G87" t="s">
        <v>28</v>
      </c>
      <c r="H87">
        <v>44648</v>
      </c>
      <c r="I87">
        <v>12</v>
      </c>
      <c r="J87">
        <v>8</v>
      </c>
      <c r="K87" t="s">
        <v>21</v>
      </c>
      <c r="L87" t="s">
        <v>22</v>
      </c>
      <c r="M87">
        <v>40</v>
      </c>
      <c r="N87" t="s">
        <v>29</v>
      </c>
      <c r="O87">
        <v>2</v>
      </c>
    </row>
    <row r="88" spans="1:15" x14ac:dyDescent="0.3">
      <c r="A88" t="s">
        <v>126</v>
      </c>
      <c r="B88">
        <v>55</v>
      </c>
      <c r="C88" t="s">
        <v>16</v>
      </c>
      <c r="D88" t="s">
        <v>25</v>
      </c>
      <c r="E88" t="s">
        <v>33</v>
      </c>
      <c r="F88" t="s">
        <v>19</v>
      </c>
      <c r="G88" t="s">
        <v>20</v>
      </c>
      <c r="H88">
        <v>52966</v>
      </c>
      <c r="I88">
        <v>11</v>
      </c>
      <c r="J88">
        <v>0</v>
      </c>
      <c r="K88" t="s">
        <v>29</v>
      </c>
      <c r="L88" t="s">
        <v>22</v>
      </c>
      <c r="M88">
        <v>17</v>
      </c>
      <c r="N88" t="s">
        <v>29</v>
      </c>
      <c r="O88">
        <v>1</v>
      </c>
    </row>
    <row r="89" spans="1:15" x14ac:dyDescent="0.3">
      <c r="A89" t="s">
        <v>127</v>
      </c>
      <c r="B89">
        <v>53</v>
      </c>
      <c r="C89" t="s">
        <v>24</v>
      </c>
      <c r="D89" t="s">
        <v>17</v>
      </c>
      <c r="E89" t="s">
        <v>50</v>
      </c>
      <c r="F89" t="s">
        <v>38</v>
      </c>
      <c r="G89" t="s">
        <v>20</v>
      </c>
      <c r="H89">
        <v>47777</v>
      </c>
      <c r="I89">
        <v>19</v>
      </c>
      <c r="J89">
        <v>0</v>
      </c>
      <c r="K89" t="s">
        <v>29</v>
      </c>
      <c r="L89" t="s">
        <v>47</v>
      </c>
      <c r="M89">
        <v>95</v>
      </c>
      <c r="N89" t="s">
        <v>29</v>
      </c>
      <c r="O89">
        <v>4</v>
      </c>
    </row>
    <row r="90" spans="1:15" x14ac:dyDescent="0.3">
      <c r="A90" t="s">
        <v>128</v>
      </c>
      <c r="B90">
        <v>25</v>
      </c>
      <c r="C90" t="s">
        <v>24</v>
      </c>
      <c r="D90" t="s">
        <v>40</v>
      </c>
      <c r="E90" t="s">
        <v>26</v>
      </c>
      <c r="F90" t="s">
        <v>19</v>
      </c>
      <c r="G90" t="s">
        <v>28</v>
      </c>
      <c r="H90">
        <v>52567</v>
      </c>
      <c r="I90">
        <v>0</v>
      </c>
      <c r="J90">
        <v>8</v>
      </c>
      <c r="K90" t="s">
        <v>29</v>
      </c>
      <c r="L90" t="s">
        <v>47</v>
      </c>
      <c r="M90">
        <v>48</v>
      </c>
      <c r="N90" t="s">
        <v>21</v>
      </c>
      <c r="O90">
        <v>4</v>
      </c>
    </row>
    <row r="91" spans="1:15" x14ac:dyDescent="0.3">
      <c r="A91" t="s">
        <v>129</v>
      </c>
      <c r="B91">
        <v>59</v>
      </c>
      <c r="C91" t="s">
        <v>16</v>
      </c>
      <c r="D91" t="s">
        <v>25</v>
      </c>
      <c r="E91" t="s">
        <v>33</v>
      </c>
      <c r="F91" t="s">
        <v>36</v>
      </c>
      <c r="G91" t="s">
        <v>20</v>
      </c>
      <c r="H91">
        <v>37174</v>
      </c>
      <c r="I91">
        <v>16</v>
      </c>
      <c r="J91">
        <v>5</v>
      </c>
      <c r="K91" t="s">
        <v>29</v>
      </c>
      <c r="L91" t="s">
        <v>30</v>
      </c>
      <c r="M91">
        <v>75</v>
      </c>
      <c r="N91" t="s">
        <v>21</v>
      </c>
      <c r="O91">
        <v>1</v>
      </c>
    </row>
    <row r="92" spans="1:15" x14ac:dyDescent="0.3">
      <c r="A92" t="s">
        <v>130</v>
      </c>
      <c r="B92">
        <v>48</v>
      </c>
      <c r="C92" t="s">
        <v>24</v>
      </c>
      <c r="D92" t="s">
        <v>17</v>
      </c>
      <c r="E92" t="s">
        <v>18</v>
      </c>
      <c r="F92" t="s">
        <v>36</v>
      </c>
      <c r="G92" t="s">
        <v>20</v>
      </c>
      <c r="H92">
        <v>62598</v>
      </c>
      <c r="I92">
        <v>12</v>
      </c>
      <c r="J92">
        <v>3</v>
      </c>
      <c r="K92" t="s">
        <v>29</v>
      </c>
      <c r="L92" t="s">
        <v>22</v>
      </c>
      <c r="M92">
        <v>76</v>
      </c>
      <c r="N92" t="s">
        <v>29</v>
      </c>
      <c r="O92">
        <v>3</v>
      </c>
    </row>
    <row r="93" spans="1:15" x14ac:dyDescent="0.3">
      <c r="A93" t="s">
        <v>131</v>
      </c>
      <c r="B93">
        <v>27</v>
      </c>
      <c r="C93" t="s">
        <v>16</v>
      </c>
      <c r="D93" t="s">
        <v>44</v>
      </c>
      <c r="E93" t="s">
        <v>50</v>
      </c>
      <c r="F93" t="s">
        <v>38</v>
      </c>
      <c r="G93" t="s">
        <v>20</v>
      </c>
      <c r="H93">
        <v>79199</v>
      </c>
      <c r="I93">
        <v>0</v>
      </c>
      <c r="J93">
        <v>6</v>
      </c>
      <c r="K93" t="s">
        <v>21</v>
      </c>
      <c r="L93" t="s">
        <v>47</v>
      </c>
      <c r="M93">
        <v>82</v>
      </c>
      <c r="N93" t="s">
        <v>29</v>
      </c>
      <c r="O93">
        <v>1</v>
      </c>
    </row>
    <row r="94" spans="1:15" x14ac:dyDescent="0.3">
      <c r="A94" t="s">
        <v>132</v>
      </c>
      <c r="B94">
        <v>29</v>
      </c>
      <c r="C94" t="s">
        <v>24</v>
      </c>
      <c r="D94" t="s">
        <v>40</v>
      </c>
      <c r="E94" t="s">
        <v>41</v>
      </c>
      <c r="F94" t="s">
        <v>27</v>
      </c>
      <c r="G94" t="s">
        <v>28</v>
      </c>
      <c r="H94">
        <v>33798</v>
      </c>
      <c r="I94">
        <v>9</v>
      </c>
      <c r="J94">
        <v>4</v>
      </c>
      <c r="K94" t="s">
        <v>29</v>
      </c>
      <c r="L94" t="s">
        <v>30</v>
      </c>
      <c r="M94">
        <v>80</v>
      </c>
      <c r="N94" t="s">
        <v>29</v>
      </c>
      <c r="O94">
        <v>2</v>
      </c>
    </row>
    <row r="95" spans="1:15" x14ac:dyDescent="0.3">
      <c r="A95" t="s">
        <v>133</v>
      </c>
      <c r="B95">
        <v>28</v>
      </c>
      <c r="C95" t="s">
        <v>16</v>
      </c>
      <c r="D95" t="s">
        <v>40</v>
      </c>
      <c r="E95" t="s">
        <v>50</v>
      </c>
      <c r="F95" t="s">
        <v>27</v>
      </c>
      <c r="G95" t="s">
        <v>28</v>
      </c>
      <c r="H95">
        <v>85364</v>
      </c>
      <c r="I95">
        <v>14</v>
      </c>
      <c r="J95">
        <v>9</v>
      </c>
      <c r="K95" t="s">
        <v>29</v>
      </c>
      <c r="L95" t="s">
        <v>45</v>
      </c>
      <c r="M95">
        <v>40</v>
      </c>
      <c r="N95" t="s">
        <v>21</v>
      </c>
      <c r="O95">
        <v>2</v>
      </c>
    </row>
    <row r="96" spans="1:15" x14ac:dyDescent="0.3">
      <c r="A96" t="s">
        <v>134</v>
      </c>
      <c r="B96">
        <v>32</v>
      </c>
      <c r="C96" t="s">
        <v>24</v>
      </c>
      <c r="D96" t="s">
        <v>40</v>
      </c>
      <c r="E96" t="s">
        <v>41</v>
      </c>
      <c r="F96" t="s">
        <v>36</v>
      </c>
      <c r="G96" t="s">
        <v>28</v>
      </c>
      <c r="H96">
        <v>37558</v>
      </c>
      <c r="I96">
        <v>6</v>
      </c>
      <c r="J96">
        <v>6</v>
      </c>
      <c r="K96" t="s">
        <v>29</v>
      </c>
      <c r="L96" t="s">
        <v>47</v>
      </c>
      <c r="M96">
        <v>65</v>
      </c>
      <c r="N96" t="s">
        <v>29</v>
      </c>
      <c r="O96">
        <v>4</v>
      </c>
    </row>
    <row r="97" spans="1:15" x14ac:dyDescent="0.3">
      <c r="A97" t="s">
        <v>135</v>
      </c>
      <c r="B97">
        <v>54</v>
      </c>
      <c r="C97" t="s">
        <v>24</v>
      </c>
      <c r="D97" t="s">
        <v>44</v>
      </c>
      <c r="E97" t="s">
        <v>26</v>
      </c>
      <c r="F97" t="s">
        <v>27</v>
      </c>
      <c r="G97" t="s">
        <v>20</v>
      </c>
      <c r="H97">
        <v>81084</v>
      </c>
      <c r="I97">
        <v>17</v>
      </c>
      <c r="J97">
        <v>7</v>
      </c>
      <c r="K97" t="s">
        <v>29</v>
      </c>
      <c r="L97" t="s">
        <v>45</v>
      </c>
      <c r="M97">
        <v>85</v>
      </c>
      <c r="N97" t="s">
        <v>29</v>
      </c>
      <c r="O97">
        <v>1</v>
      </c>
    </row>
    <row r="98" spans="1:15" x14ac:dyDescent="0.3">
      <c r="A98" t="s">
        <v>136</v>
      </c>
      <c r="B98">
        <v>53</v>
      </c>
      <c r="C98" t="s">
        <v>16</v>
      </c>
      <c r="D98" t="s">
        <v>44</v>
      </c>
      <c r="E98" t="s">
        <v>41</v>
      </c>
      <c r="F98" t="s">
        <v>36</v>
      </c>
      <c r="G98" t="s">
        <v>28</v>
      </c>
      <c r="H98">
        <v>64237</v>
      </c>
      <c r="I98">
        <v>15</v>
      </c>
      <c r="J98">
        <v>7</v>
      </c>
      <c r="K98" t="s">
        <v>21</v>
      </c>
      <c r="L98" t="s">
        <v>30</v>
      </c>
      <c r="M98">
        <v>44</v>
      </c>
      <c r="N98" t="s">
        <v>21</v>
      </c>
      <c r="O98">
        <v>4</v>
      </c>
    </row>
    <row r="99" spans="1:15" x14ac:dyDescent="0.3">
      <c r="A99" t="s">
        <v>137</v>
      </c>
      <c r="B99">
        <v>43</v>
      </c>
      <c r="C99" t="s">
        <v>24</v>
      </c>
      <c r="D99" t="s">
        <v>35</v>
      </c>
      <c r="E99" t="s">
        <v>26</v>
      </c>
      <c r="F99" t="s">
        <v>38</v>
      </c>
      <c r="G99" t="s">
        <v>20</v>
      </c>
      <c r="H99">
        <v>85497</v>
      </c>
      <c r="I99">
        <v>13</v>
      </c>
      <c r="J99">
        <v>0</v>
      </c>
      <c r="K99" t="s">
        <v>29</v>
      </c>
      <c r="L99" t="s">
        <v>45</v>
      </c>
      <c r="M99">
        <v>97</v>
      </c>
      <c r="N99" t="s">
        <v>29</v>
      </c>
      <c r="O99">
        <v>3</v>
      </c>
    </row>
    <row r="100" spans="1:15" x14ac:dyDescent="0.3">
      <c r="A100" t="s">
        <v>138</v>
      </c>
      <c r="B100">
        <v>44</v>
      </c>
      <c r="C100" t="s">
        <v>16</v>
      </c>
      <c r="D100" t="s">
        <v>32</v>
      </c>
      <c r="E100" t="s">
        <v>18</v>
      </c>
      <c r="F100" t="s">
        <v>38</v>
      </c>
      <c r="G100" t="s">
        <v>20</v>
      </c>
      <c r="H100">
        <v>20178</v>
      </c>
      <c r="I100">
        <v>17</v>
      </c>
      <c r="J100">
        <v>7</v>
      </c>
      <c r="K100" t="s">
        <v>21</v>
      </c>
      <c r="L100" t="s">
        <v>22</v>
      </c>
      <c r="M100">
        <v>31</v>
      </c>
      <c r="N100" t="s">
        <v>29</v>
      </c>
      <c r="O100">
        <v>2</v>
      </c>
    </row>
    <row r="101" spans="1:15" x14ac:dyDescent="0.3">
      <c r="A101" t="s">
        <v>139</v>
      </c>
      <c r="B101">
        <v>57</v>
      </c>
      <c r="C101" t="s">
        <v>24</v>
      </c>
      <c r="D101" t="s">
        <v>17</v>
      </c>
      <c r="E101" t="s">
        <v>41</v>
      </c>
      <c r="F101" t="s">
        <v>36</v>
      </c>
      <c r="G101" t="s">
        <v>20</v>
      </c>
      <c r="H101">
        <v>106006</v>
      </c>
      <c r="I101">
        <v>6</v>
      </c>
      <c r="J101">
        <v>5</v>
      </c>
      <c r="K101" t="s">
        <v>29</v>
      </c>
      <c r="L101" t="s">
        <v>22</v>
      </c>
      <c r="M101">
        <v>5</v>
      </c>
      <c r="N101" t="s">
        <v>21</v>
      </c>
      <c r="O101">
        <v>5</v>
      </c>
    </row>
    <row r="102" spans="1:15" x14ac:dyDescent="0.3">
      <c r="A102" t="s">
        <v>140</v>
      </c>
      <c r="B102">
        <v>55</v>
      </c>
      <c r="C102" t="s">
        <v>16</v>
      </c>
      <c r="D102" t="s">
        <v>35</v>
      </c>
      <c r="E102" t="s">
        <v>50</v>
      </c>
      <c r="F102" t="s">
        <v>38</v>
      </c>
      <c r="G102" t="s">
        <v>28</v>
      </c>
      <c r="H102">
        <v>37118</v>
      </c>
      <c r="I102">
        <v>16</v>
      </c>
      <c r="J102">
        <v>3</v>
      </c>
      <c r="K102" t="s">
        <v>21</v>
      </c>
      <c r="L102" t="s">
        <v>45</v>
      </c>
      <c r="M102">
        <v>38</v>
      </c>
      <c r="N102" t="s">
        <v>29</v>
      </c>
      <c r="O102">
        <v>5</v>
      </c>
    </row>
    <row r="103" spans="1:15" x14ac:dyDescent="0.3">
      <c r="A103" t="s">
        <v>141</v>
      </c>
      <c r="B103">
        <v>42</v>
      </c>
      <c r="C103" t="s">
        <v>16</v>
      </c>
      <c r="D103" t="s">
        <v>17</v>
      </c>
      <c r="E103" t="s">
        <v>26</v>
      </c>
      <c r="F103" t="s">
        <v>19</v>
      </c>
      <c r="G103" t="s">
        <v>28</v>
      </c>
      <c r="H103">
        <v>42616</v>
      </c>
      <c r="I103">
        <v>17</v>
      </c>
      <c r="J103">
        <v>7</v>
      </c>
      <c r="K103" t="s">
        <v>21</v>
      </c>
      <c r="L103" t="s">
        <v>22</v>
      </c>
      <c r="M103">
        <v>72</v>
      </c>
      <c r="N103" t="s">
        <v>29</v>
      </c>
      <c r="O103">
        <v>1</v>
      </c>
    </row>
    <row r="104" spans="1:15" x14ac:dyDescent="0.3">
      <c r="A104" t="s">
        <v>142</v>
      </c>
      <c r="B104">
        <v>47</v>
      </c>
      <c r="C104" t="s">
        <v>16</v>
      </c>
      <c r="D104" t="s">
        <v>32</v>
      </c>
      <c r="E104" t="s">
        <v>50</v>
      </c>
      <c r="F104" t="s">
        <v>19</v>
      </c>
      <c r="G104" t="s">
        <v>28</v>
      </c>
      <c r="H104">
        <v>20798</v>
      </c>
      <c r="I104">
        <v>11</v>
      </c>
      <c r="J104">
        <v>2</v>
      </c>
      <c r="K104" t="s">
        <v>21</v>
      </c>
      <c r="L104" t="s">
        <v>30</v>
      </c>
      <c r="M104">
        <v>92</v>
      </c>
      <c r="N104" t="s">
        <v>21</v>
      </c>
      <c r="O104">
        <v>1</v>
      </c>
    </row>
    <row r="105" spans="1:15" x14ac:dyDescent="0.3">
      <c r="A105" t="s">
        <v>143</v>
      </c>
      <c r="B105">
        <v>55</v>
      </c>
      <c r="C105" t="s">
        <v>16</v>
      </c>
      <c r="D105" t="s">
        <v>44</v>
      </c>
      <c r="E105" t="s">
        <v>33</v>
      </c>
      <c r="F105" t="s">
        <v>38</v>
      </c>
      <c r="G105" t="s">
        <v>28</v>
      </c>
      <c r="H105">
        <v>27601</v>
      </c>
      <c r="I105">
        <v>7</v>
      </c>
      <c r="J105">
        <v>3</v>
      </c>
      <c r="K105" t="s">
        <v>21</v>
      </c>
      <c r="L105" t="s">
        <v>22</v>
      </c>
      <c r="M105">
        <v>25</v>
      </c>
      <c r="N105" t="s">
        <v>29</v>
      </c>
      <c r="O105">
        <v>5</v>
      </c>
    </row>
    <row r="106" spans="1:15" x14ac:dyDescent="0.3">
      <c r="A106" t="s">
        <v>144</v>
      </c>
      <c r="B106">
        <v>21</v>
      </c>
      <c r="C106" t="s">
        <v>24</v>
      </c>
      <c r="D106" t="s">
        <v>32</v>
      </c>
      <c r="E106" t="s">
        <v>26</v>
      </c>
      <c r="F106" t="s">
        <v>36</v>
      </c>
      <c r="G106" t="s">
        <v>20</v>
      </c>
      <c r="H106">
        <v>45363</v>
      </c>
      <c r="I106">
        <v>1</v>
      </c>
      <c r="J106">
        <v>5</v>
      </c>
      <c r="K106" t="s">
        <v>21</v>
      </c>
      <c r="L106" t="s">
        <v>45</v>
      </c>
      <c r="M106">
        <v>37</v>
      </c>
      <c r="N106" t="s">
        <v>21</v>
      </c>
      <c r="O106">
        <v>1</v>
      </c>
    </row>
    <row r="107" spans="1:15" x14ac:dyDescent="0.3">
      <c r="A107" t="s">
        <v>145</v>
      </c>
      <c r="B107">
        <v>55</v>
      </c>
      <c r="C107" t="s">
        <v>24</v>
      </c>
      <c r="D107" t="s">
        <v>44</v>
      </c>
      <c r="E107" t="s">
        <v>41</v>
      </c>
      <c r="F107" t="s">
        <v>36</v>
      </c>
      <c r="G107" t="s">
        <v>28</v>
      </c>
      <c r="H107">
        <v>22795</v>
      </c>
      <c r="I107">
        <v>6</v>
      </c>
      <c r="J107">
        <v>6</v>
      </c>
      <c r="K107" t="s">
        <v>29</v>
      </c>
      <c r="L107" t="s">
        <v>45</v>
      </c>
      <c r="M107">
        <v>11</v>
      </c>
      <c r="N107" t="s">
        <v>29</v>
      </c>
      <c r="O107">
        <v>2</v>
      </c>
    </row>
    <row r="108" spans="1:15" x14ac:dyDescent="0.3">
      <c r="A108" t="s">
        <v>146</v>
      </c>
      <c r="B108">
        <v>57</v>
      </c>
      <c r="C108" t="s">
        <v>16</v>
      </c>
      <c r="D108" t="s">
        <v>32</v>
      </c>
      <c r="E108" t="s">
        <v>26</v>
      </c>
      <c r="F108" t="s">
        <v>38</v>
      </c>
      <c r="G108" t="s">
        <v>20</v>
      </c>
      <c r="H108">
        <v>117462</v>
      </c>
      <c r="I108">
        <v>3</v>
      </c>
      <c r="J108">
        <v>3</v>
      </c>
      <c r="K108" t="s">
        <v>21</v>
      </c>
      <c r="L108" t="s">
        <v>45</v>
      </c>
      <c r="M108">
        <v>69</v>
      </c>
      <c r="N108" t="s">
        <v>29</v>
      </c>
      <c r="O108">
        <v>3</v>
      </c>
    </row>
    <row r="109" spans="1:15" x14ac:dyDescent="0.3">
      <c r="A109" t="s">
        <v>147</v>
      </c>
      <c r="B109">
        <v>34</v>
      </c>
      <c r="C109" t="s">
        <v>16</v>
      </c>
      <c r="D109" t="s">
        <v>35</v>
      </c>
      <c r="E109" t="s">
        <v>50</v>
      </c>
      <c r="F109" t="s">
        <v>27</v>
      </c>
      <c r="G109" t="s">
        <v>28</v>
      </c>
      <c r="H109">
        <v>65264</v>
      </c>
      <c r="I109">
        <v>17</v>
      </c>
      <c r="J109">
        <v>3</v>
      </c>
      <c r="K109" t="s">
        <v>29</v>
      </c>
      <c r="L109" t="s">
        <v>47</v>
      </c>
      <c r="M109">
        <v>7</v>
      </c>
      <c r="N109" t="s">
        <v>29</v>
      </c>
      <c r="O109">
        <v>3</v>
      </c>
    </row>
    <row r="110" spans="1:15" x14ac:dyDescent="0.3">
      <c r="A110" t="s">
        <v>148</v>
      </c>
      <c r="B110">
        <v>23</v>
      </c>
      <c r="C110" t="s">
        <v>16</v>
      </c>
      <c r="D110" t="s">
        <v>25</v>
      </c>
      <c r="E110" t="s">
        <v>18</v>
      </c>
      <c r="F110" t="s">
        <v>19</v>
      </c>
      <c r="G110" t="s">
        <v>28</v>
      </c>
      <c r="H110">
        <v>92833</v>
      </c>
      <c r="I110">
        <v>5</v>
      </c>
      <c r="J110">
        <v>6</v>
      </c>
      <c r="K110" t="s">
        <v>21</v>
      </c>
      <c r="L110" t="s">
        <v>45</v>
      </c>
      <c r="M110">
        <v>55</v>
      </c>
      <c r="N110" t="s">
        <v>29</v>
      </c>
      <c r="O110">
        <v>4</v>
      </c>
    </row>
    <row r="111" spans="1:15" x14ac:dyDescent="0.3">
      <c r="A111" t="s">
        <v>149</v>
      </c>
      <c r="B111">
        <v>21</v>
      </c>
      <c r="C111" t="s">
        <v>24</v>
      </c>
      <c r="D111" t="s">
        <v>35</v>
      </c>
      <c r="E111" t="s">
        <v>26</v>
      </c>
      <c r="F111" t="s">
        <v>27</v>
      </c>
      <c r="G111" t="s">
        <v>28</v>
      </c>
      <c r="H111">
        <v>23084</v>
      </c>
      <c r="I111">
        <v>8</v>
      </c>
      <c r="J111">
        <v>5</v>
      </c>
      <c r="K111" t="s">
        <v>21</v>
      </c>
      <c r="L111" t="s">
        <v>30</v>
      </c>
      <c r="M111">
        <v>83</v>
      </c>
      <c r="N111" t="s">
        <v>29</v>
      </c>
      <c r="O111">
        <v>2</v>
      </c>
    </row>
    <row r="112" spans="1:15" x14ac:dyDescent="0.3">
      <c r="A112" t="s">
        <v>150</v>
      </c>
      <c r="B112">
        <v>25</v>
      </c>
      <c r="C112" t="s">
        <v>24</v>
      </c>
      <c r="D112" t="s">
        <v>17</v>
      </c>
      <c r="E112" t="s">
        <v>41</v>
      </c>
      <c r="F112" t="s">
        <v>36</v>
      </c>
      <c r="G112" t="s">
        <v>20</v>
      </c>
      <c r="H112">
        <v>115865</v>
      </c>
      <c r="I112">
        <v>8</v>
      </c>
      <c r="J112">
        <v>7</v>
      </c>
      <c r="K112" t="s">
        <v>29</v>
      </c>
      <c r="L112" t="s">
        <v>22</v>
      </c>
      <c r="M112">
        <v>99</v>
      </c>
      <c r="N112" t="s">
        <v>21</v>
      </c>
      <c r="O112">
        <v>1</v>
      </c>
    </row>
    <row r="113" spans="1:15" x14ac:dyDescent="0.3">
      <c r="A113" t="s">
        <v>151</v>
      </c>
      <c r="B113">
        <v>46</v>
      </c>
      <c r="C113" t="s">
        <v>24</v>
      </c>
      <c r="D113" t="s">
        <v>35</v>
      </c>
      <c r="E113" t="s">
        <v>33</v>
      </c>
      <c r="F113" t="s">
        <v>36</v>
      </c>
      <c r="G113" t="s">
        <v>20</v>
      </c>
      <c r="H113">
        <v>96646</v>
      </c>
      <c r="I113">
        <v>13</v>
      </c>
      <c r="J113">
        <v>0</v>
      </c>
      <c r="K113" t="s">
        <v>21</v>
      </c>
      <c r="L113" t="s">
        <v>22</v>
      </c>
      <c r="M113">
        <v>58</v>
      </c>
      <c r="N113" t="s">
        <v>29</v>
      </c>
      <c r="O113">
        <v>1</v>
      </c>
    </row>
    <row r="114" spans="1:15" x14ac:dyDescent="0.3">
      <c r="A114" t="s">
        <v>152</v>
      </c>
      <c r="B114">
        <v>34</v>
      </c>
      <c r="C114" t="s">
        <v>24</v>
      </c>
      <c r="D114" t="s">
        <v>40</v>
      </c>
      <c r="E114" t="s">
        <v>18</v>
      </c>
      <c r="F114" t="s">
        <v>27</v>
      </c>
      <c r="G114" t="s">
        <v>20</v>
      </c>
      <c r="H114">
        <v>20731</v>
      </c>
      <c r="I114">
        <v>7</v>
      </c>
      <c r="J114">
        <v>9</v>
      </c>
      <c r="K114" t="s">
        <v>21</v>
      </c>
      <c r="L114" t="s">
        <v>47</v>
      </c>
      <c r="M114">
        <v>84</v>
      </c>
      <c r="N114" t="s">
        <v>29</v>
      </c>
      <c r="O114">
        <v>4</v>
      </c>
    </row>
    <row r="115" spans="1:15" x14ac:dyDescent="0.3">
      <c r="A115" t="s">
        <v>153</v>
      </c>
      <c r="B115">
        <v>59</v>
      </c>
      <c r="C115" t="s">
        <v>16</v>
      </c>
      <c r="D115" t="s">
        <v>17</v>
      </c>
      <c r="E115" t="s">
        <v>33</v>
      </c>
      <c r="F115" t="s">
        <v>38</v>
      </c>
      <c r="G115" t="s">
        <v>20</v>
      </c>
      <c r="H115">
        <v>21129</v>
      </c>
      <c r="I115">
        <v>18</v>
      </c>
      <c r="J115">
        <v>6</v>
      </c>
      <c r="K115" t="s">
        <v>21</v>
      </c>
      <c r="L115" t="s">
        <v>47</v>
      </c>
      <c r="M115">
        <v>78</v>
      </c>
      <c r="N115" t="s">
        <v>21</v>
      </c>
      <c r="O115">
        <v>4</v>
      </c>
    </row>
    <row r="116" spans="1:15" x14ac:dyDescent="0.3">
      <c r="A116" t="s">
        <v>154</v>
      </c>
      <c r="B116">
        <v>47</v>
      </c>
      <c r="C116" t="s">
        <v>16</v>
      </c>
      <c r="D116" t="s">
        <v>32</v>
      </c>
      <c r="E116" t="s">
        <v>26</v>
      </c>
      <c r="F116" t="s">
        <v>27</v>
      </c>
      <c r="G116" t="s">
        <v>20</v>
      </c>
      <c r="H116">
        <v>48022</v>
      </c>
      <c r="I116">
        <v>2</v>
      </c>
      <c r="J116">
        <v>6</v>
      </c>
      <c r="K116" t="s">
        <v>21</v>
      </c>
      <c r="L116" t="s">
        <v>30</v>
      </c>
      <c r="M116">
        <v>97</v>
      </c>
      <c r="N116" t="s">
        <v>21</v>
      </c>
      <c r="O116">
        <v>1</v>
      </c>
    </row>
    <row r="117" spans="1:15" x14ac:dyDescent="0.3">
      <c r="A117" t="s">
        <v>155</v>
      </c>
      <c r="B117">
        <v>29</v>
      </c>
      <c r="C117" t="s">
        <v>16</v>
      </c>
      <c r="D117" t="s">
        <v>17</v>
      </c>
      <c r="E117" t="s">
        <v>50</v>
      </c>
      <c r="F117" t="s">
        <v>27</v>
      </c>
      <c r="G117" t="s">
        <v>28</v>
      </c>
      <c r="H117">
        <v>21605</v>
      </c>
      <c r="I117">
        <v>17</v>
      </c>
      <c r="J117">
        <v>6</v>
      </c>
      <c r="K117" t="s">
        <v>29</v>
      </c>
      <c r="L117" t="s">
        <v>45</v>
      </c>
      <c r="M117">
        <v>63</v>
      </c>
      <c r="N117" t="s">
        <v>29</v>
      </c>
      <c r="O117">
        <v>1</v>
      </c>
    </row>
    <row r="118" spans="1:15" x14ac:dyDescent="0.3">
      <c r="A118" t="s">
        <v>156</v>
      </c>
      <c r="B118">
        <v>35</v>
      </c>
      <c r="C118" t="s">
        <v>24</v>
      </c>
      <c r="D118" t="s">
        <v>25</v>
      </c>
      <c r="E118" t="s">
        <v>50</v>
      </c>
      <c r="F118" t="s">
        <v>19</v>
      </c>
      <c r="G118" t="s">
        <v>20</v>
      </c>
      <c r="H118">
        <v>97506</v>
      </c>
      <c r="I118">
        <v>4</v>
      </c>
      <c r="J118">
        <v>6</v>
      </c>
      <c r="K118" t="s">
        <v>21</v>
      </c>
      <c r="L118" t="s">
        <v>47</v>
      </c>
      <c r="M118">
        <v>10</v>
      </c>
      <c r="N118" t="s">
        <v>21</v>
      </c>
      <c r="O118">
        <v>2</v>
      </c>
    </row>
    <row r="119" spans="1:15" x14ac:dyDescent="0.3">
      <c r="A119" t="s">
        <v>157</v>
      </c>
      <c r="B119">
        <v>35</v>
      </c>
      <c r="C119" t="s">
        <v>24</v>
      </c>
      <c r="D119" t="s">
        <v>44</v>
      </c>
      <c r="E119" t="s">
        <v>41</v>
      </c>
      <c r="F119" t="s">
        <v>19</v>
      </c>
      <c r="G119" t="s">
        <v>20</v>
      </c>
      <c r="H119">
        <v>64130</v>
      </c>
      <c r="I119">
        <v>13</v>
      </c>
      <c r="J119">
        <v>9</v>
      </c>
      <c r="K119" t="s">
        <v>21</v>
      </c>
      <c r="L119" t="s">
        <v>22</v>
      </c>
      <c r="M119">
        <v>33</v>
      </c>
      <c r="N119" t="s">
        <v>29</v>
      </c>
      <c r="O119">
        <v>4</v>
      </c>
    </row>
    <row r="120" spans="1:15" x14ac:dyDescent="0.3">
      <c r="A120" t="s">
        <v>158</v>
      </c>
      <c r="B120">
        <v>46</v>
      </c>
      <c r="C120" t="s">
        <v>24</v>
      </c>
      <c r="D120" t="s">
        <v>32</v>
      </c>
      <c r="E120" t="s">
        <v>50</v>
      </c>
      <c r="F120" t="s">
        <v>27</v>
      </c>
      <c r="G120" t="s">
        <v>20</v>
      </c>
      <c r="H120">
        <v>49265</v>
      </c>
      <c r="I120">
        <v>3</v>
      </c>
      <c r="J120">
        <v>9</v>
      </c>
      <c r="K120" t="s">
        <v>29</v>
      </c>
      <c r="L120" t="s">
        <v>47</v>
      </c>
      <c r="M120">
        <v>21</v>
      </c>
      <c r="N120" t="s">
        <v>21</v>
      </c>
      <c r="O120">
        <v>2</v>
      </c>
    </row>
    <row r="121" spans="1:15" x14ac:dyDescent="0.3">
      <c r="A121" t="s">
        <v>159</v>
      </c>
      <c r="B121">
        <v>33</v>
      </c>
      <c r="C121" t="s">
        <v>16</v>
      </c>
      <c r="D121" t="s">
        <v>17</v>
      </c>
      <c r="E121" t="s">
        <v>18</v>
      </c>
      <c r="F121" t="s">
        <v>27</v>
      </c>
      <c r="G121" t="s">
        <v>20</v>
      </c>
      <c r="H121">
        <v>52330</v>
      </c>
      <c r="I121">
        <v>6</v>
      </c>
      <c r="J121">
        <v>7</v>
      </c>
      <c r="K121" t="s">
        <v>29</v>
      </c>
      <c r="L121" t="s">
        <v>47</v>
      </c>
      <c r="M121">
        <v>64</v>
      </c>
      <c r="N121" t="s">
        <v>21</v>
      </c>
      <c r="O121">
        <v>1</v>
      </c>
    </row>
    <row r="122" spans="1:15" x14ac:dyDescent="0.3">
      <c r="A122" t="s">
        <v>160</v>
      </c>
      <c r="B122">
        <v>52</v>
      </c>
      <c r="C122" t="s">
        <v>16</v>
      </c>
      <c r="D122" t="s">
        <v>32</v>
      </c>
      <c r="E122" t="s">
        <v>50</v>
      </c>
      <c r="F122" t="s">
        <v>36</v>
      </c>
      <c r="G122" t="s">
        <v>28</v>
      </c>
      <c r="H122">
        <v>88469</v>
      </c>
      <c r="I122">
        <v>19</v>
      </c>
      <c r="J122">
        <v>8</v>
      </c>
      <c r="K122" t="s">
        <v>21</v>
      </c>
      <c r="L122" t="s">
        <v>45</v>
      </c>
      <c r="M122">
        <v>26</v>
      </c>
      <c r="N122" t="s">
        <v>29</v>
      </c>
      <c r="O122">
        <v>5</v>
      </c>
    </row>
    <row r="123" spans="1:15" x14ac:dyDescent="0.3">
      <c r="A123" t="s">
        <v>161</v>
      </c>
      <c r="B123">
        <v>59</v>
      </c>
      <c r="C123" t="s">
        <v>24</v>
      </c>
      <c r="D123" t="s">
        <v>32</v>
      </c>
      <c r="E123" t="s">
        <v>41</v>
      </c>
      <c r="F123" t="s">
        <v>19</v>
      </c>
      <c r="G123" t="s">
        <v>20</v>
      </c>
      <c r="H123">
        <v>35187</v>
      </c>
      <c r="I123">
        <v>11</v>
      </c>
      <c r="J123">
        <v>8</v>
      </c>
      <c r="K123" t="s">
        <v>21</v>
      </c>
      <c r="L123" t="s">
        <v>47</v>
      </c>
      <c r="M123">
        <v>28</v>
      </c>
      <c r="N123" t="s">
        <v>21</v>
      </c>
      <c r="O123">
        <v>5</v>
      </c>
    </row>
    <row r="124" spans="1:15" x14ac:dyDescent="0.3">
      <c r="A124" t="s">
        <v>162</v>
      </c>
      <c r="B124">
        <v>52</v>
      </c>
      <c r="C124" t="s">
        <v>16</v>
      </c>
      <c r="D124" t="s">
        <v>32</v>
      </c>
      <c r="E124" t="s">
        <v>26</v>
      </c>
      <c r="F124" t="s">
        <v>19</v>
      </c>
      <c r="G124" t="s">
        <v>28</v>
      </c>
      <c r="H124">
        <v>45791</v>
      </c>
      <c r="I124">
        <v>1</v>
      </c>
      <c r="J124">
        <v>1</v>
      </c>
      <c r="K124" t="s">
        <v>29</v>
      </c>
      <c r="L124" t="s">
        <v>30</v>
      </c>
      <c r="M124">
        <v>85</v>
      </c>
      <c r="N124" t="s">
        <v>29</v>
      </c>
      <c r="O124">
        <v>1</v>
      </c>
    </row>
    <row r="125" spans="1:15" x14ac:dyDescent="0.3">
      <c r="A125" t="s">
        <v>163</v>
      </c>
      <c r="B125">
        <v>24</v>
      </c>
      <c r="C125" t="s">
        <v>24</v>
      </c>
      <c r="D125" t="s">
        <v>44</v>
      </c>
      <c r="E125" t="s">
        <v>26</v>
      </c>
      <c r="F125" t="s">
        <v>36</v>
      </c>
      <c r="G125" t="s">
        <v>28</v>
      </c>
      <c r="H125">
        <v>110436</v>
      </c>
      <c r="I125">
        <v>10</v>
      </c>
      <c r="J125">
        <v>6</v>
      </c>
      <c r="K125" t="s">
        <v>21</v>
      </c>
      <c r="L125" t="s">
        <v>22</v>
      </c>
      <c r="M125">
        <v>89</v>
      </c>
      <c r="N125" t="s">
        <v>21</v>
      </c>
      <c r="O125">
        <v>4</v>
      </c>
    </row>
    <row r="126" spans="1:15" x14ac:dyDescent="0.3">
      <c r="A126" t="s">
        <v>164</v>
      </c>
      <c r="B126">
        <v>50</v>
      </c>
      <c r="C126" t="s">
        <v>24</v>
      </c>
      <c r="D126" t="s">
        <v>35</v>
      </c>
      <c r="E126" t="s">
        <v>50</v>
      </c>
      <c r="F126" t="s">
        <v>38</v>
      </c>
      <c r="G126" t="s">
        <v>28</v>
      </c>
      <c r="H126">
        <v>90610</v>
      </c>
      <c r="I126">
        <v>13</v>
      </c>
      <c r="J126">
        <v>6</v>
      </c>
      <c r="K126" t="s">
        <v>29</v>
      </c>
      <c r="L126" t="s">
        <v>45</v>
      </c>
      <c r="M126">
        <v>55</v>
      </c>
      <c r="N126" t="s">
        <v>21</v>
      </c>
      <c r="O126">
        <v>5</v>
      </c>
    </row>
    <row r="127" spans="1:15" x14ac:dyDescent="0.3">
      <c r="A127" t="s">
        <v>165</v>
      </c>
      <c r="B127">
        <v>57</v>
      </c>
      <c r="C127" t="s">
        <v>16</v>
      </c>
      <c r="D127" t="s">
        <v>32</v>
      </c>
      <c r="E127" t="s">
        <v>33</v>
      </c>
      <c r="F127" t="s">
        <v>19</v>
      </c>
      <c r="G127" t="s">
        <v>20</v>
      </c>
      <c r="H127">
        <v>111962</v>
      </c>
      <c r="I127">
        <v>15</v>
      </c>
      <c r="J127">
        <v>3</v>
      </c>
      <c r="K127" t="s">
        <v>21</v>
      </c>
      <c r="L127" t="s">
        <v>22</v>
      </c>
      <c r="M127">
        <v>54</v>
      </c>
      <c r="N127" t="s">
        <v>21</v>
      </c>
      <c r="O127">
        <v>4</v>
      </c>
    </row>
    <row r="128" spans="1:15" x14ac:dyDescent="0.3">
      <c r="A128" t="s">
        <v>166</v>
      </c>
      <c r="B128">
        <v>43</v>
      </c>
      <c r="C128" t="s">
        <v>24</v>
      </c>
      <c r="D128" t="s">
        <v>40</v>
      </c>
      <c r="E128" t="s">
        <v>26</v>
      </c>
      <c r="F128" t="s">
        <v>19</v>
      </c>
      <c r="G128" t="s">
        <v>28</v>
      </c>
      <c r="H128">
        <v>59867</v>
      </c>
      <c r="I128">
        <v>19</v>
      </c>
      <c r="J128">
        <v>8</v>
      </c>
      <c r="K128" t="s">
        <v>29</v>
      </c>
      <c r="L128" t="s">
        <v>30</v>
      </c>
      <c r="M128">
        <v>15</v>
      </c>
      <c r="N128" t="s">
        <v>29</v>
      </c>
      <c r="O128">
        <v>5</v>
      </c>
    </row>
    <row r="129" spans="1:15" x14ac:dyDescent="0.3">
      <c r="A129" t="s">
        <v>167</v>
      </c>
      <c r="B129">
        <v>59</v>
      </c>
      <c r="C129" t="s">
        <v>16</v>
      </c>
      <c r="D129" t="s">
        <v>25</v>
      </c>
      <c r="E129" t="s">
        <v>50</v>
      </c>
      <c r="F129" t="s">
        <v>38</v>
      </c>
      <c r="G129" t="s">
        <v>20</v>
      </c>
      <c r="H129">
        <v>20893</v>
      </c>
      <c r="I129">
        <v>5</v>
      </c>
      <c r="J129">
        <v>7</v>
      </c>
      <c r="K129" t="s">
        <v>29</v>
      </c>
      <c r="L129" t="s">
        <v>30</v>
      </c>
      <c r="M129">
        <v>60</v>
      </c>
      <c r="N129" t="s">
        <v>29</v>
      </c>
      <c r="O129">
        <v>4</v>
      </c>
    </row>
    <row r="130" spans="1:15" x14ac:dyDescent="0.3">
      <c r="A130" t="s">
        <v>168</v>
      </c>
      <c r="B130">
        <v>35</v>
      </c>
      <c r="C130" t="s">
        <v>24</v>
      </c>
      <c r="D130" t="s">
        <v>44</v>
      </c>
      <c r="E130" t="s">
        <v>41</v>
      </c>
      <c r="F130" t="s">
        <v>19</v>
      </c>
      <c r="G130" t="s">
        <v>20</v>
      </c>
      <c r="H130">
        <v>119694</v>
      </c>
      <c r="I130">
        <v>3</v>
      </c>
      <c r="J130">
        <v>0</v>
      </c>
      <c r="K130" t="s">
        <v>29</v>
      </c>
      <c r="L130" t="s">
        <v>47</v>
      </c>
      <c r="M130">
        <v>75</v>
      </c>
      <c r="N130" t="s">
        <v>21</v>
      </c>
      <c r="O130">
        <v>5</v>
      </c>
    </row>
    <row r="131" spans="1:15" x14ac:dyDescent="0.3">
      <c r="A131" t="s">
        <v>169</v>
      </c>
      <c r="B131">
        <v>49</v>
      </c>
      <c r="C131" t="s">
        <v>16</v>
      </c>
      <c r="D131" t="s">
        <v>17</v>
      </c>
      <c r="E131" t="s">
        <v>50</v>
      </c>
      <c r="F131" t="s">
        <v>19</v>
      </c>
      <c r="G131" t="s">
        <v>20</v>
      </c>
      <c r="H131">
        <v>39773</v>
      </c>
      <c r="I131">
        <v>14</v>
      </c>
      <c r="J131">
        <v>1</v>
      </c>
      <c r="K131" t="s">
        <v>21</v>
      </c>
      <c r="L131" t="s">
        <v>47</v>
      </c>
      <c r="M131">
        <v>46</v>
      </c>
      <c r="N131" t="s">
        <v>29</v>
      </c>
      <c r="O131">
        <v>4</v>
      </c>
    </row>
    <row r="132" spans="1:15" x14ac:dyDescent="0.3">
      <c r="A132" t="s">
        <v>170</v>
      </c>
      <c r="B132">
        <v>56</v>
      </c>
      <c r="C132" t="s">
        <v>16</v>
      </c>
      <c r="D132" t="s">
        <v>44</v>
      </c>
      <c r="E132" t="s">
        <v>26</v>
      </c>
      <c r="F132" t="s">
        <v>38</v>
      </c>
      <c r="G132" t="s">
        <v>20</v>
      </c>
      <c r="H132">
        <v>24239</v>
      </c>
      <c r="I132">
        <v>0</v>
      </c>
      <c r="J132">
        <v>1</v>
      </c>
      <c r="K132" t="s">
        <v>21</v>
      </c>
      <c r="L132" t="s">
        <v>47</v>
      </c>
      <c r="M132">
        <v>43</v>
      </c>
      <c r="N132" t="s">
        <v>29</v>
      </c>
      <c r="O132">
        <v>2</v>
      </c>
    </row>
    <row r="133" spans="1:15" x14ac:dyDescent="0.3">
      <c r="A133" t="s">
        <v>171</v>
      </c>
      <c r="B133">
        <v>33</v>
      </c>
      <c r="C133" t="s">
        <v>16</v>
      </c>
      <c r="D133" t="s">
        <v>17</v>
      </c>
      <c r="E133" t="s">
        <v>41</v>
      </c>
      <c r="F133" t="s">
        <v>38</v>
      </c>
      <c r="G133" t="s">
        <v>20</v>
      </c>
      <c r="H133">
        <v>40863</v>
      </c>
      <c r="I133">
        <v>6</v>
      </c>
      <c r="J133">
        <v>7</v>
      </c>
      <c r="K133" t="s">
        <v>21</v>
      </c>
      <c r="L133" t="s">
        <v>22</v>
      </c>
      <c r="M133">
        <v>73</v>
      </c>
      <c r="N133" t="s">
        <v>29</v>
      </c>
      <c r="O133">
        <v>4</v>
      </c>
    </row>
    <row r="134" spans="1:15" x14ac:dyDescent="0.3">
      <c r="A134" t="s">
        <v>172</v>
      </c>
      <c r="B134">
        <v>52</v>
      </c>
      <c r="C134" t="s">
        <v>24</v>
      </c>
      <c r="D134" t="s">
        <v>44</v>
      </c>
      <c r="E134" t="s">
        <v>50</v>
      </c>
      <c r="F134" t="s">
        <v>27</v>
      </c>
      <c r="G134" t="s">
        <v>28</v>
      </c>
      <c r="H134">
        <v>71415</v>
      </c>
      <c r="I134">
        <v>11</v>
      </c>
      <c r="J134">
        <v>0</v>
      </c>
      <c r="K134" t="s">
        <v>21</v>
      </c>
      <c r="L134" t="s">
        <v>30</v>
      </c>
      <c r="M134">
        <v>52</v>
      </c>
      <c r="N134" t="s">
        <v>21</v>
      </c>
      <c r="O134">
        <v>2</v>
      </c>
    </row>
    <row r="135" spans="1:15" x14ac:dyDescent="0.3">
      <c r="A135" t="s">
        <v>173</v>
      </c>
      <c r="B135">
        <v>27</v>
      </c>
      <c r="C135" t="s">
        <v>24</v>
      </c>
      <c r="D135" t="s">
        <v>17</v>
      </c>
      <c r="E135" t="s">
        <v>18</v>
      </c>
      <c r="F135" t="s">
        <v>36</v>
      </c>
      <c r="G135" t="s">
        <v>28</v>
      </c>
      <c r="H135">
        <v>88968</v>
      </c>
      <c r="I135">
        <v>9</v>
      </c>
      <c r="J135">
        <v>3</v>
      </c>
      <c r="K135" t="s">
        <v>29</v>
      </c>
      <c r="L135" t="s">
        <v>45</v>
      </c>
      <c r="M135">
        <v>61</v>
      </c>
      <c r="N135" t="s">
        <v>29</v>
      </c>
      <c r="O135">
        <v>2</v>
      </c>
    </row>
    <row r="136" spans="1:15" x14ac:dyDescent="0.3">
      <c r="A136" t="s">
        <v>174</v>
      </c>
      <c r="B136">
        <v>42</v>
      </c>
      <c r="C136" t="s">
        <v>16</v>
      </c>
      <c r="D136" t="s">
        <v>32</v>
      </c>
      <c r="E136" t="s">
        <v>41</v>
      </c>
      <c r="F136" t="s">
        <v>36</v>
      </c>
      <c r="G136" t="s">
        <v>20</v>
      </c>
      <c r="H136">
        <v>80430</v>
      </c>
      <c r="I136">
        <v>4</v>
      </c>
      <c r="J136">
        <v>9</v>
      </c>
      <c r="K136" t="s">
        <v>29</v>
      </c>
      <c r="L136" t="s">
        <v>47</v>
      </c>
      <c r="M136">
        <v>25</v>
      </c>
      <c r="N136" t="s">
        <v>21</v>
      </c>
      <c r="O136">
        <v>1</v>
      </c>
    </row>
    <row r="137" spans="1:15" x14ac:dyDescent="0.3">
      <c r="A137" t="s">
        <v>175</v>
      </c>
      <c r="B137">
        <v>48</v>
      </c>
      <c r="C137" t="s">
        <v>16</v>
      </c>
      <c r="D137" t="s">
        <v>35</v>
      </c>
      <c r="E137" t="s">
        <v>18</v>
      </c>
      <c r="F137" t="s">
        <v>38</v>
      </c>
      <c r="G137" t="s">
        <v>28</v>
      </c>
      <c r="H137">
        <v>21515</v>
      </c>
      <c r="I137">
        <v>11</v>
      </c>
      <c r="J137">
        <v>4</v>
      </c>
      <c r="K137" t="s">
        <v>29</v>
      </c>
      <c r="L137" t="s">
        <v>22</v>
      </c>
      <c r="M137">
        <v>86</v>
      </c>
      <c r="N137" t="s">
        <v>21</v>
      </c>
      <c r="O137">
        <v>2</v>
      </c>
    </row>
    <row r="138" spans="1:15" x14ac:dyDescent="0.3">
      <c r="A138" t="s">
        <v>176</v>
      </c>
      <c r="B138">
        <v>22</v>
      </c>
      <c r="C138" t="s">
        <v>24</v>
      </c>
      <c r="D138" t="s">
        <v>17</v>
      </c>
      <c r="E138" t="s">
        <v>33</v>
      </c>
      <c r="F138" t="s">
        <v>38</v>
      </c>
      <c r="G138" t="s">
        <v>20</v>
      </c>
      <c r="H138">
        <v>117206</v>
      </c>
      <c r="I138">
        <v>17</v>
      </c>
      <c r="J138">
        <v>8</v>
      </c>
      <c r="K138" t="s">
        <v>21</v>
      </c>
      <c r="L138" t="s">
        <v>47</v>
      </c>
      <c r="M138">
        <v>24</v>
      </c>
      <c r="N138" t="s">
        <v>21</v>
      </c>
      <c r="O138">
        <v>3</v>
      </c>
    </row>
    <row r="139" spans="1:15" x14ac:dyDescent="0.3">
      <c r="A139" t="s">
        <v>177</v>
      </c>
      <c r="B139">
        <v>26</v>
      </c>
      <c r="C139" t="s">
        <v>24</v>
      </c>
      <c r="D139" t="s">
        <v>17</v>
      </c>
      <c r="E139" t="s">
        <v>41</v>
      </c>
      <c r="F139" t="s">
        <v>19</v>
      </c>
      <c r="G139" t="s">
        <v>28</v>
      </c>
      <c r="H139">
        <v>34605</v>
      </c>
      <c r="I139">
        <v>9</v>
      </c>
      <c r="J139">
        <v>6</v>
      </c>
      <c r="K139" t="s">
        <v>21</v>
      </c>
      <c r="L139" t="s">
        <v>30</v>
      </c>
      <c r="M139">
        <v>19</v>
      </c>
      <c r="N139" t="s">
        <v>21</v>
      </c>
      <c r="O139">
        <v>2</v>
      </c>
    </row>
    <row r="140" spans="1:15" x14ac:dyDescent="0.3">
      <c r="A140" t="s">
        <v>178</v>
      </c>
      <c r="B140">
        <v>48</v>
      </c>
      <c r="C140" t="s">
        <v>24</v>
      </c>
      <c r="D140" t="s">
        <v>40</v>
      </c>
      <c r="E140" t="s">
        <v>18</v>
      </c>
      <c r="F140" t="s">
        <v>27</v>
      </c>
      <c r="G140" t="s">
        <v>28</v>
      </c>
      <c r="H140">
        <v>76240</v>
      </c>
      <c r="I140">
        <v>5</v>
      </c>
      <c r="J140">
        <v>7</v>
      </c>
      <c r="K140" t="s">
        <v>21</v>
      </c>
      <c r="L140" t="s">
        <v>45</v>
      </c>
      <c r="M140">
        <v>73</v>
      </c>
      <c r="N140" t="s">
        <v>21</v>
      </c>
      <c r="O140">
        <v>4</v>
      </c>
    </row>
    <row r="141" spans="1:15" x14ac:dyDescent="0.3">
      <c r="A141" t="s">
        <v>179</v>
      </c>
      <c r="B141">
        <v>48</v>
      </c>
      <c r="C141" t="s">
        <v>16</v>
      </c>
      <c r="D141" t="s">
        <v>17</v>
      </c>
      <c r="E141" t="s">
        <v>26</v>
      </c>
      <c r="F141" t="s">
        <v>27</v>
      </c>
      <c r="G141" t="s">
        <v>28</v>
      </c>
      <c r="H141">
        <v>25586</v>
      </c>
      <c r="I141">
        <v>11</v>
      </c>
      <c r="J141">
        <v>8</v>
      </c>
      <c r="K141" t="s">
        <v>29</v>
      </c>
      <c r="L141" t="s">
        <v>30</v>
      </c>
      <c r="M141">
        <v>81</v>
      </c>
      <c r="N141" t="s">
        <v>29</v>
      </c>
      <c r="O141">
        <v>2</v>
      </c>
    </row>
    <row r="142" spans="1:15" x14ac:dyDescent="0.3">
      <c r="A142" t="s">
        <v>180</v>
      </c>
      <c r="B142">
        <v>40</v>
      </c>
      <c r="C142" t="s">
        <v>24</v>
      </c>
      <c r="D142" t="s">
        <v>40</v>
      </c>
      <c r="E142" t="s">
        <v>26</v>
      </c>
      <c r="F142" t="s">
        <v>38</v>
      </c>
      <c r="G142" t="s">
        <v>28</v>
      </c>
      <c r="H142">
        <v>51186</v>
      </c>
      <c r="I142">
        <v>6</v>
      </c>
      <c r="J142">
        <v>6</v>
      </c>
      <c r="K142" t="s">
        <v>21</v>
      </c>
      <c r="L142" t="s">
        <v>22</v>
      </c>
      <c r="M142">
        <v>55</v>
      </c>
      <c r="N142" t="s">
        <v>29</v>
      </c>
      <c r="O142">
        <v>4</v>
      </c>
    </row>
    <row r="143" spans="1:15" x14ac:dyDescent="0.3">
      <c r="A143" t="s">
        <v>181</v>
      </c>
      <c r="B143">
        <v>50</v>
      </c>
      <c r="C143" t="s">
        <v>24</v>
      </c>
      <c r="D143" t="s">
        <v>25</v>
      </c>
      <c r="E143" t="s">
        <v>33</v>
      </c>
      <c r="F143" t="s">
        <v>19</v>
      </c>
      <c r="G143" t="s">
        <v>28</v>
      </c>
      <c r="H143">
        <v>46928</v>
      </c>
      <c r="I143">
        <v>17</v>
      </c>
      <c r="J143">
        <v>4</v>
      </c>
      <c r="K143" t="s">
        <v>21</v>
      </c>
      <c r="L143" t="s">
        <v>47</v>
      </c>
      <c r="M143">
        <v>80</v>
      </c>
      <c r="N143" t="s">
        <v>21</v>
      </c>
      <c r="O143">
        <v>4</v>
      </c>
    </row>
    <row r="144" spans="1:15" x14ac:dyDescent="0.3">
      <c r="A144" t="s">
        <v>182</v>
      </c>
      <c r="B144">
        <v>31</v>
      </c>
      <c r="C144" t="s">
        <v>16</v>
      </c>
      <c r="D144" t="s">
        <v>32</v>
      </c>
      <c r="E144" t="s">
        <v>41</v>
      </c>
      <c r="F144" t="s">
        <v>19</v>
      </c>
      <c r="G144" t="s">
        <v>20</v>
      </c>
      <c r="H144">
        <v>118264</v>
      </c>
      <c r="I144">
        <v>1</v>
      </c>
      <c r="J144">
        <v>4</v>
      </c>
      <c r="K144" t="s">
        <v>29</v>
      </c>
      <c r="L144" t="s">
        <v>30</v>
      </c>
      <c r="M144">
        <v>66</v>
      </c>
      <c r="N144" t="s">
        <v>29</v>
      </c>
      <c r="O144">
        <v>3</v>
      </c>
    </row>
    <row r="145" spans="1:15" x14ac:dyDescent="0.3">
      <c r="A145" t="s">
        <v>183</v>
      </c>
      <c r="B145">
        <v>48</v>
      </c>
      <c r="C145" t="s">
        <v>24</v>
      </c>
      <c r="D145" t="s">
        <v>40</v>
      </c>
      <c r="E145" t="s">
        <v>41</v>
      </c>
      <c r="F145" t="s">
        <v>36</v>
      </c>
      <c r="G145" t="s">
        <v>20</v>
      </c>
      <c r="H145">
        <v>103087</v>
      </c>
      <c r="I145">
        <v>9</v>
      </c>
      <c r="J145">
        <v>9</v>
      </c>
      <c r="K145" t="s">
        <v>29</v>
      </c>
      <c r="L145" t="s">
        <v>22</v>
      </c>
      <c r="M145">
        <v>89</v>
      </c>
      <c r="N145" t="s">
        <v>29</v>
      </c>
      <c r="O145">
        <v>2</v>
      </c>
    </row>
    <row r="146" spans="1:15" x14ac:dyDescent="0.3">
      <c r="A146" t="s">
        <v>184</v>
      </c>
      <c r="B146">
        <v>45</v>
      </c>
      <c r="C146" t="s">
        <v>24</v>
      </c>
      <c r="D146" t="s">
        <v>35</v>
      </c>
      <c r="E146" t="s">
        <v>41</v>
      </c>
      <c r="F146" t="s">
        <v>36</v>
      </c>
      <c r="G146" t="s">
        <v>28</v>
      </c>
      <c r="H146">
        <v>107029</v>
      </c>
      <c r="I146">
        <v>14</v>
      </c>
      <c r="J146">
        <v>5</v>
      </c>
      <c r="K146" t="s">
        <v>21</v>
      </c>
      <c r="L146" t="s">
        <v>47</v>
      </c>
      <c r="M146">
        <v>41</v>
      </c>
      <c r="N146" t="s">
        <v>29</v>
      </c>
      <c r="O146">
        <v>2</v>
      </c>
    </row>
    <row r="147" spans="1:15" x14ac:dyDescent="0.3">
      <c r="A147" t="s">
        <v>185</v>
      </c>
      <c r="B147">
        <v>59</v>
      </c>
      <c r="C147" t="s">
        <v>24</v>
      </c>
      <c r="D147" t="s">
        <v>32</v>
      </c>
      <c r="E147" t="s">
        <v>33</v>
      </c>
      <c r="F147" t="s">
        <v>19</v>
      </c>
      <c r="G147" t="s">
        <v>20</v>
      </c>
      <c r="H147">
        <v>40711</v>
      </c>
      <c r="I147">
        <v>11</v>
      </c>
      <c r="J147">
        <v>4</v>
      </c>
      <c r="K147" t="s">
        <v>29</v>
      </c>
      <c r="L147" t="s">
        <v>45</v>
      </c>
      <c r="M147">
        <v>10</v>
      </c>
      <c r="N147" t="s">
        <v>29</v>
      </c>
      <c r="O147">
        <v>5</v>
      </c>
    </row>
    <row r="148" spans="1:15" x14ac:dyDescent="0.3">
      <c r="A148" t="s">
        <v>186</v>
      </c>
      <c r="B148">
        <v>53</v>
      </c>
      <c r="C148" t="s">
        <v>16</v>
      </c>
      <c r="D148" t="s">
        <v>40</v>
      </c>
      <c r="E148" t="s">
        <v>41</v>
      </c>
      <c r="F148" t="s">
        <v>36</v>
      </c>
      <c r="G148" t="s">
        <v>28</v>
      </c>
      <c r="H148">
        <v>74962</v>
      </c>
      <c r="I148">
        <v>16</v>
      </c>
      <c r="J148">
        <v>8</v>
      </c>
      <c r="K148" t="s">
        <v>21</v>
      </c>
      <c r="L148" t="s">
        <v>30</v>
      </c>
      <c r="M148">
        <v>75</v>
      </c>
      <c r="N148" t="s">
        <v>29</v>
      </c>
      <c r="O148">
        <v>5</v>
      </c>
    </row>
    <row r="149" spans="1:15" x14ac:dyDescent="0.3">
      <c r="A149" t="s">
        <v>187</v>
      </c>
      <c r="B149">
        <v>21</v>
      </c>
      <c r="C149" t="s">
        <v>16</v>
      </c>
      <c r="D149" t="s">
        <v>32</v>
      </c>
      <c r="E149" t="s">
        <v>26</v>
      </c>
      <c r="F149" t="s">
        <v>38</v>
      </c>
      <c r="G149" t="s">
        <v>20</v>
      </c>
      <c r="H149">
        <v>40039</v>
      </c>
      <c r="I149">
        <v>3</v>
      </c>
      <c r="J149">
        <v>2</v>
      </c>
      <c r="K149" t="s">
        <v>29</v>
      </c>
      <c r="L149" t="s">
        <v>47</v>
      </c>
      <c r="M149">
        <v>30</v>
      </c>
      <c r="N149" t="s">
        <v>29</v>
      </c>
      <c r="O149">
        <v>1</v>
      </c>
    </row>
    <row r="150" spans="1:15" x14ac:dyDescent="0.3">
      <c r="A150" t="s">
        <v>188</v>
      </c>
      <c r="B150">
        <v>47</v>
      </c>
      <c r="C150" t="s">
        <v>16</v>
      </c>
      <c r="D150" t="s">
        <v>32</v>
      </c>
      <c r="E150" t="s">
        <v>18</v>
      </c>
      <c r="F150" t="s">
        <v>19</v>
      </c>
      <c r="G150" t="s">
        <v>28</v>
      </c>
      <c r="H150">
        <v>56561</v>
      </c>
      <c r="I150">
        <v>6</v>
      </c>
      <c r="J150">
        <v>2</v>
      </c>
      <c r="K150" t="s">
        <v>29</v>
      </c>
      <c r="L150" t="s">
        <v>47</v>
      </c>
      <c r="M150">
        <v>12</v>
      </c>
      <c r="N150" t="s">
        <v>29</v>
      </c>
      <c r="O150">
        <v>4</v>
      </c>
    </row>
    <row r="151" spans="1:15" x14ac:dyDescent="0.3">
      <c r="A151" t="s">
        <v>189</v>
      </c>
      <c r="B151">
        <v>33</v>
      </c>
      <c r="C151" t="s">
        <v>16</v>
      </c>
      <c r="D151" t="s">
        <v>32</v>
      </c>
      <c r="E151" t="s">
        <v>26</v>
      </c>
      <c r="F151" t="s">
        <v>36</v>
      </c>
      <c r="G151" t="s">
        <v>28</v>
      </c>
      <c r="H151">
        <v>95483</v>
      </c>
      <c r="I151">
        <v>8</v>
      </c>
      <c r="J151">
        <v>6</v>
      </c>
      <c r="K151" t="s">
        <v>29</v>
      </c>
      <c r="L151" t="s">
        <v>47</v>
      </c>
      <c r="M151">
        <v>77</v>
      </c>
      <c r="N151" t="s">
        <v>21</v>
      </c>
      <c r="O151">
        <v>3</v>
      </c>
    </row>
    <row r="152" spans="1:15" x14ac:dyDescent="0.3">
      <c r="A152" t="s">
        <v>190</v>
      </c>
      <c r="B152">
        <v>23</v>
      </c>
      <c r="C152" t="s">
        <v>16</v>
      </c>
      <c r="D152" t="s">
        <v>25</v>
      </c>
      <c r="E152" t="s">
        <v>26</v>
      </c>
      <c r="F152" t="s">
        <v>27</v>
      </c>
      <c r="G152" t="s">
        <v>28</v>
      </c>
      <c r="H152">
        <v>117871</v>
      </c>
      <c r="I152">
        <v>18</v>
      </c>
      <c r="J152">
        <v>6</v>
      </c>
      <c r="K152" t="s">
        <v>21</v>
      </c>
      <c r="L152" t="s">
        <v>47</v>
      </c>
      <c r="M152">
        <v>95</v>
      </c>
      <c r="N152" t="s">
        <v>21</v>
      </c>
      <c r="O152">
        <v>5</v>
      </c>
    </row>
    <row r="153" spans="1:15" x14ac:dyDescent="0.3">
      <c r="A153" t="s">
        <v>191</v>
      </c>
      <c r="B153">
        <v>59</v>
      </c>
      <c r="C153" t="s">
        <v>16</v>
      </c>
      <c r="D153" t="s">
        <v>35</v>
      </c>
      <c r="E153" t="s">
        <v>18</v>
      </c>
      <c r="F153" t="s">
        <v>19</v>
      </c>
      <c r="G153" t="s">
        <v>20</v>
      </c>
      <c r="H153">
        <v>101395</v>
      </c>
      <c r="I153">
        <v>6</v>
      </c>
      <c r="J153">
        <v>5</v>
      </c>
      <c r="K153" t="s">
        <v>21</v>
      </c>
      <c r="L153" t="s">
        <v>30</v>
      </c>
      <c r="M153">
        <v>8</v>
      </c>
      <c r="N153" t="s">
        <v>21</v>
      </c>
      <c r="O153">
        <v>2</v>
      </c>
    </row>
    <row r="154" spans="1:15" x14ac:dyDescent="0.3">
      <c r="A154" t="s">
        <v>192</v>
      </c>
      <c r="B154">
        <v>26</v>
      </c>
      <c r="C154" t="s">
        <v>16</v>
      </c>
      <c r="D154" t="s">
        <v>44</v>
      </c>
      <c r="E154" t="s">
        <v>26</v>
      </c>
      <c r="F154" t="s">
        <v>19</v>
      </c>
      <c r="G154" t="s">
        <v>20</v>
      </c>
      <c r="H154">
        <v>108658</v>
      </c>
      <c r="I154">
        <v>1</v>
      </c>
      <c r="J154">
        <v>2</v>
      </c>
      <c r="K154" t="s">
        <v>21</v>
      </c>
      <c r="L154" t="s">
        <v>47</v>
      </c>
      <c r="M154">
        <v>25</v>
      </c>
      <c r="N154" t="s">
        <v>29</v>
      </c>
      <c r="O154">
        <v>1</v>
      </c>
    </row>
    <row r="155" spans="1:15" x14ac:dyDescent="0.3">
      <c r="A155" t="s">
        <v>193</v>
      </c>
      <c r="B155">
        <v>28</v>
      </c>
      <c r="C155" t="s">
        <v>24</v>
      </c>
      <c r="D155" t="s">
        <v>44</v>
      </c>
      <c r="E155" t="s">
        <v>33</v>
      </c>
      <c r="F155" t="s">
        <v>27</v>
      </c>
      <c r="G155" t="s">
        <v>28</v>
      </c>
      <c r="H155">
        <v>21577</v>
      </c>
      <c r="I155">
        <v>5</v>
      </c>
      <c r="J155">
        <v>6</v>
      </c>
      <c r="K155" t="s">
        <v>29</v>
      </c>
      <c r="L155" t="s">
        <v>22</v>
      </c>
      <c r="M155">
        <v>35</v>
      </c>
      <c r="N155" t="s">
        <v>29</v>
      </c>
      <c r="O155">
        <v>3</v>
      </c>
    </row>
    <row r="156" spans="1:15" x14ac:dyDescent="0.3">
      <c r="A156" t="s">
        <v>194</v>
      </c>
      <c r="B156">
        <v>47</v>
      </c>
      <c r="C156" t="s">
        <v>24</v>
      </c>
      <c r="D156" t="s">
        <v>40</v>
      </c>
      <c r="E156" t="s">
        <v>18</v>
      </c>
      <c r="F156" t="s">
        <v>38</v>
      </c>
      <c r="G156" t="s">
        <v>28</v>
      </c>
      <c r="H156">
        <v>48350</v>
      </c>
      <c r="I156">
        <v>17</v>
      </c>
      <c r="J156">
        <v>4</v>
      </c>
      <c r="K156" t="s">
        <v>29</v>
      </c>
      <c r="L156" t="s">
        <v>30</v>
      </c>
      <c r="M156">
        <v>25</v>
      </c>
      <c r="N156" t="s">
        <v>21</v>
      </c>
      <c r="O156">
        <v>2</v>
      </c>
    </row>
    <row r="157" spans="1:15" x14ac:dyDescent="0.3">
      <c r="A157" t="s">
        <v>195</v>
      </c>
      <c r="B157">
        <v>29</v>
      </c>
      <c r="C157" t="s">
        <v>16</v>
      </c>
      <c r="D157" t="s">
        <v>32</v>
      </c>
      <c r="E157" t="s">
        <v>26</v>
      </c>
      <c r="F157" t="s">
        <v>27</v>
      </c>
      <c r="G157" t="s">
        <v>20</v>
      </c>
      <c r="H157">
        <v>53798</v>
      </c>
      <c r="I157">
        <v>5</v>
      </c>
      <c r="J157">
        <v>6</v>
      </c>
      <c r="K157" t="s">
        <v>29</v>
      </c>
      <c r="L157" t="s">
        <v>47</v>
      </c>
      <c r="M157">
        <v>29</v>
      </c>
      <c r="N157" t="s">
        <v>29</v>
      </c>
      <c r="O157">
        <v>2</v>
      </c>
    </row>
    <row r="158" spans="1:15" x14ac:dyDescent="0.3">
      <c r="A158" t="s">
        <v>196</v>
      </c>
      <c r="B158">
        <v>57</v>
      </c>
      <c r="C158" t="s">
        <v>24</v>
      </c>
      <c r="D158" t="s">
        <v>40</v>
      </c>
      <c r="E158" t="s">
        <v>50</v>
      </c>
      <c r="F158" t="s">
        <v>19</v>
      </c>
      <c r="G158" t="s">
        <v>20</v>
      </c>
      <c r="H158">
        <v>117434</v>
      </c>
      <c r="I158">
        <v>12</v>
      </c>
      <c r="J158">
        <v>1</v>
      </c>
      <c r="K158" t="s">
        <v>29</v>
      </c>
      <c r="L158" t="s">
        <v>30</v>
      </c>
      <c r="M158">
        <v>19</v>
      </c>
      <c r="N158" t="s">
        <v>29</v>
      </c>
      <c r="O158">
        <v>4</v>
      </c>
    </row>
    <row r="159" spans="1:15" x14ac:dyDescent="0.3">
      <c r="A159" t="s">
        <v>197</v>
      </c>
      <c r="B159">
        <v>53</v>
      </c>
      <c r="C159" t="s">
        <v>24</v>
      </c>
      <c r="D159" t="s">
        <v>25</v>
      </c>
      <c r="E159" t="s">
        <v>26</v>
      </c>
      <c r="F159" t="s">
        <v>38</v>
      </c>
      <c r="G159" t="s">
        <v>20</v>
      </c>
      <c r="H159">
        <v>101417</v>
      </c>
      <c r="I159">
        <v>18</v>
      </c>
      <c r="J159">
        <v>5</v>
      </c>
      <c r="K159" t="s">
        <v>21</v>
      </c>
      <c r="L159" t="s">
        <v>22</v>
      </c>
      <c r="M159">
        <v>39</v>
      </c>
      <c r="N159" t="s">
        <v>21</v>
      </c>
      <c r="O159">
        <v>4</v>
      </c>
    </row>
    <row r="160" spans="1:15" x14ac:dyDescent="0.3">
      <c r="A160" t="s">
        <v>198</v>
      </c>
      <c r="B160">
        <v>44</v>
      </c>
      <c r="C160" t="s">
        <v>16</v>
      </c>
      <c r="D160" t="s">
        <v>25</v>
      </c>
      <c r="E160" t="s">
        <v>33</v>
      </c>
      <c r="F160" t="s">
        <v>36</v>
      </c>
      <c r="G160" t="s">
        <v>20</v>
      </c>
      <c r="H160">
        <v>30785</v>
      </c>
      <c r="I160">
        <v>1</v>
      </c>
      <c r="J160">
        <v>7</v>
      </c>
      <c r="K160" t="s">
        <v>21</v>
      </c>
      <c r="L160" t="s">
        <v>22</v>
      </c>
      <c r="M160">
        <v>53</v>
      </c>
      <c r="N160" t="s">
        <v>21</v>
      </c>
      <c r="O160">
        <v>5</v>
      </c>
    </row>
    <row r="161" spans="1:15" x14ac:dyDescent="0.3">
      <c r="A161" t="s">
        <v>199</v>
      </c>
      <c r="B161">
        <v>35</v>
      </c>
      <c r="C161" t="s">
        <v>24</v>
      </c>
      <c r="D161" t="s">
        <v>17</v>
      </c>
      <c r="E161" t="s">
        <v>41</v>
      </c>
      <c r="F161" t="s">
        <v>36</v>
      </c>
      <c r="G161" t="s">
        <v>20</v>
      </c>
      <c r="H161">
        <v>92227</v>
      </c>
      <c r="I161">
        <v>11</v>
      </c>
      <c r="J161">
        <v>0</v>
      </c>
      <c r="K161" t="s">
        <v>21</v>
      </c>
      <c r="L161" t="s">
        <v>30</v>
      </c>
      <c r="M161">
        <v>47</v>
      </c>
      <c r="N161" t="s">
        <v>21</v>
      </c>
      <c r="O161">
        <v>5</v>
      </c>
    </row>
    <row r="162" spans="1:15" x14ac:dyDescent="0.3">
      <c r="A162" t="s">
        <v>200</v>
      </c>
      <c r="B162">
        <v>52</v>
      </c>
      <c r="C162" t="s">
        <v>24</v>
      </c>
      <c r="D162" t="s">
        <v>25</v>
      </c>
      <c r="E162" t="s">
        <v>26</v>
      </c>
      <c r="F162" t="s">
        <v>36</v>
      </c>
      <c r="G162" t="s">
        <v>28</v>
      </c>
      <c r="H162">
        <v>81957</v>
      </c>
      <c r="I162">
        <v>14</v>
      </c>
      <c r="J162">
        <v>3</v>
      </c>
      <c r="K162" t="s">
        <v>29</v>
      </c>
      <c r="L162" t="s">
        <v>47</v>
      </c>
      <c r="M162">
        <v>45</v>
      </c>
      <c r="N162" t="s">
        <v>29</v>
      </c>
      <c r="O162">
        <v>2</v>
      </c>
    </row>
    <row r="163" spans="1:15" x14ac:dyDescent="0.3">
      <c r="A163" t="s">
        <v>201</v>
      </c>
      <c r="B163">
        <v>52</v>
      </c>
      <c r="C163" t="s">
        <v>24</v>
      </c>
      <c r="D163" t="s">
        <v>17</v>
      </c>
      <c r="E163" t="s">
        <v>41</v>
      </c>
      <c r="F163" t="s">
        <v>19</v>
      </c>
      <c r="G163" t="s">
        <v>20</v>
      </c>
      <c r="H163">
        <v>85431</v>
      </c>
      <c r="I163">
        <v>13</v>
      </c>
      <c r="J163">
        <v>0</v>
      </c>
      <c r="K163" t="s">
        <v>29</v>
      </c>
      <c r="L163" t="s">
        <v>47</v>
      </c>
      <c r="M163">
        <v>41</v>
      </c>
      <c r="N163" t="s">
        <v>29</v>
      </c>
      <c r="O163">
        <v>2</v>
      </c>
    </row>
    <row r="164" spans="1:15" x14ac:dyDescent="0.3">
      <c r="A164" t="s">
        <v>202</v>
      </c>
      <c r="B164">
        <v>44</v>
      </c>
      <c r="C164" t="s">
        <v>24</v>
      </c>
      <c r="D164" t="s">
        <v>35</v>
      </c>
      <c r="E164" t="s">
        <v>50</v>
      </c>
      <c r="F164" t="s">
        <v>27</v>
      </c>
      <c r="G164" t="s">
        <v>28</v>
      </c>
      <c r="H164">
        <v>37297</v>
      </c>
      <c r="I164">
        <v>5</v>
      </c>
      <c r="J164">
        <v>0</v>
      </c>
      <c r="K164" t="s">
        <v>21</v>
      </c>
      <c r="L164" t="s">
        <v>22</v>
      </c>
      <c r="M164">
        <v>61</v>
      </c>
      <c r="N164" t="s">
        <v>29</v>
      </c>
      <c r="O164">
        <v>5</v>
      </c>
    </row>
    <row r="165" spans="1:15" x14ac:dyDescent="0.3">
      <c r="A165" t="s">
        <v>203</v>
      </c>
      <c r="B165">
        <v>32</v>
      </c>
      <c r="C165" t="s">
        <v>24</v>
      </c>
      <c r="D165" t="s">
        <v>40</v>
      </c>
      <c r="E165" t="s">
        <v>26</v>
      </c>
      <c r="F165" t="s">
        <v>38</v>
      </c>
      <c r="G165" t="s">
        <v>28</v>
      </c>
      <c r="H165">
        <v>91894</v>
      </c>
      <c r="I165">
        <v>17</v>
      </c>
      <c r="J165">
        <v>9</v>
      </c>
      <c r="K165" t="s">
        <v>29</v>
      </c>
      <c r="L165" t="s">
        <v>47</v>
      </c>
      <c r="M165">
        <v>46</v>
      </c>
      <c r="N165" t="s">
        <v>21</v>
      </c>
      <c r="O165">
        <v>5</v>
      </c>
    </row>
    <row r="166" spans="1:15" x14ac:dyDescent="0.3">
      <c r="A166" t="s">
        <v>204</v>
      </c>
      <c r="B166">
        <v>59</v>
      </c>
      <c r="C166" t="s">
        <v>16</v>
      </c>
      <c r="D166" t="s">
        <v>35</v>
      </c>
      <c r="E166" t="s">
        <v>18</v>
      </c>
      <c r="F166" t="s">
        <v>36</v>
      </c>
      <c r="G166" t="s">
        <v>20</v>
      </c>
      <c r="H166">
        <v>83772</v>
      </c>
      <c r="I166">
        <v>4</v>
      </c>
      <c r="J166">
        <v>7</v>
      </c>
      <c r="K166" t="s">
        <v>21</v>
      </c>
      <c r="L166" t="s">
        <v>22</v>
      </c>
      <c r="M166">
        <v>51</v>
      </c>
      <c r="N166" t="s">
        <v>21</v>
      </c>
      <c r="O166">
        <v>2</v>
      </c>
    </row>
    <row r="167" spans="1:15" x14ac:dyDescent="0.3">
      <c r="A167" t="s">
        <v>205</v>
      </c>
      <c r="B167">
        <v>22</v>
      </c>
      <c r="C167" t="s">
        <v>16</v>
      </c>
      <c r="D167" t="s">
        <v>25</v>
      </c>
      <c r="E167" t="s">
        <v>41</v>
      </c>
      <c r="F167" t="s">
        <v>38</v>
      </c>
      <c r="G167" t="s">
        <v>20</v>
      </c>
      <c r="H167">
        <v>39581</v>
      </c>
      <c r="I167">
        <v>17</v>
      </c>
      <c r="J167">
        <v>6</v>
      </c>
      <c r="K167" t="s">
        <v>29</v>
      </c>
      <c r="L167" t="s">
        <v>47</v>
      </c>
      <c r="M167">
        <v>96</v>
      </c>
      <c r="N167" t="s">
        <v>29</v>
      </c>
      <c r="O167">
        <v>3</v>
      </c>
    </row>
    <row r="168" spans="1:15" x14ac:dyDescent="0.3">
      <c r="A168" t="s">
        <v>206</v>
      </c>
      <c r="B168">
        <v>23</v>
      </c>
      <c r="C168" t="s">
        <v>16</v>
      </c>
      <c r="D168" t="s">
        <v>35</v>
      </c>
      <c r="E168" t="s">
        <v>50</v>
      </c>
      <c r="F168" t="s">
        <v>19</v>
      </c>
      <c r="G168" t="s">
        <v>28</v>
      </c>
      <c r="H168">
        <v>75192</v>
      </c>
      <c r="I168">
        <v>2</v>
      </c>
      <c r="J168">
        <v>9</v>
      </c>
      <c r="K168" t="s">
        <v>29</v>
      </c>
      <c r="L168" t="s">
        <v>22</v>
      </c>
      <c r="M168">
        <v>65</v>
      </c>
      <c r="N168" t="s">
        <v>21</v>
      </c>
      <c r="O168">
        <v>2</v>
      </c>
    </row>
    <row r="169" spans="1:15" x14ac:dyDescent="0.3">
      <c r="A169" t="s">
        <v>207</v>
      </c>
      <c r="B169">
        <v>57</v>
      </c>
      <c r="C169" t="s">
        <v>24</v>
      </c>
      <c r="D169" t="s">
        <v>35</v>
      </c>
      <c r="E169" t="s">
        <v>18</v>
      </c>
      <c r="F169" t="s">
        <v>36</v>
      </c>
      <c r="G169" t="s">
        <v>20</v>
      </c>
      <c r="H169">
        <v>21462</v>
      </c>
      <c r="I169">
        <v>2</v>
      </c>
      <c r="J169">
        <v>0</v>
      </c>
      <c r="K169" t="s">
        <v>21</v>
      </c>
      <c r="L169" t="s">
        <v>45</v>
      </c>
      <c r="M169">
        <v>18</v>
      </c>
      <c r="N169" t="s">
        <v>21</v>
      </c>
      <c r="O169">
        <v>3</v>
      </c>
    </row>
    <row r="170" spans="1:15" x14ac:dyDescent="0.3">
      <c r="A170" t="s">
        <v>208</v>
      </c>
      <c r="B170">
        <v>37</v>
      </c>
      <c r="C170" t="s">
        <v>16</v>
      </c>
      <c r="D170" t="s">
        <v>35</v>
      </c>
      <c r="E170" t="s">
        <v>18</v>
      </c>
      <c r="F170" t="s">
        <v>19</v>
      </c>
      <c r="G170" t="s">
        <v>28</v>
      </c>
      <c r="H170">
        <v>84173</v>
      </c>
      <c r="I170">
        <v>9</v>
      </c>
      <c r="J170">
        <v>1</v>
      </c>
      <c r="K170" t="s">
        <v>21</v>
      </c>
      <c r="L170" t="s">
        <v>47</v>
      </c>
      <c r="M170">
        <v>72</v>
      </c>
      <c r="N170" t="s">
        <v>29</v>
      </c>
      <c r="O170">
        <v>3</v>
      </c>
    </row>
    <row r="171" spans="1:15" x14ac:dyDescent="0.3">
      <c r="A171" t="s">
        <v>209</v>
      </c>
      <c r="B171">
        <v>22</v>
      </c>
      <c r="C171" t="s">
        <v>24</v>
      </c>
      <c r="D171" t="s">
        <v>25</v>
      </c>
      <c r="E171" t="s">
        <v>18</v>
      </c>
      <c r="F171" t="s">
        <v>27</v>
      </c>
      <c r="G171" t="s">
        <v>20</v>
      </c>
      <c r="H171">
        <v>35511</v>
      </c>
      <c r="I171">
        <v>18</v>
      </c>
      <c r="J171">
        <v>3</v>
      </c>
      <c r="K171" t="s">
        <v>29</v>
      </c>
      <c r="L171" t="s">
        <v>47</v>
      </c>
      <c r="M171">
        <v>57</v>
      </c>
      <c r="N171" t="s">
        <v>21</v>
      </c>
      <c r="O171">
        <v>2</v>
      </c>
    </row>
    <row r="172" spans="1:15" x14ac:dyDescent="0.3">
      <c r="A172" t="s">
        <v>210</v>
      </c>
      <c r="B172">
        <v>22</v>
      </c>
      <c r="C172" t="s">
        <v>24</v>
      </c>
      <c r="D172" t="s">
        <v>32</v>
      </c>
      <c r="E172" t="s">
        <v>18</v>
      </c>
      <c r="F172" t="s">
        <v>19</v>
      </c>
      <c r="G172" t="s">
        <v>20</v>
      </c>
      <c r="H172">
        <v>96106</v>
      </c>
      <c r="I172">
        <v>2</v>
      </c>
      <c r="J172">
        <v>0</v>
      </c>
      <c r="K172" t="s">
        <v>21</v>
      </c>
      <c r="L172" t="s">
        <v>47</v>
      </c>
      <c r="M172">
        <v>88</v>
      </c>
      <c r="N172" t="s">
        <v>21</v>
      </c>
      <c r="O172">
        <v>1</v>
      </c>
    </row>
    <row r="173" spans="1:15" x14ac:dyDescent="0.3">
      <c r="A173" t="s">
        <v>211</v>
      </c>
      <c r="B173">
        <v>48</v>
      </c>
      <c r="C173" t="s">
        <v>24</v>
      </c>
      <c r="D173" t="s">
        <v>35</v>
      </c>
      <c r="E173" t="s">
        <v>26</v>
      </c>
      <c r="F173" t="s">
        <v>19</v>
      </c>
      <c r="G173" t="s">
        <v>20</v>
      </c>
      <c r="H173">
        <v>68665</v>
      </c>
      <c r="I173">
        <v>11</v>
      </c>
      <c r="J173">
        <v>2</v>
      </c>
      <c r="K173" t="s">
        <v>21</v>
      </c>
      <c r="L173" t="s">
        <v>30</v>
      </c>
      <c r="M173">
        <v>38</v>
      </c>
      <c r="N173" t="s">
        <v>21</v>
      </c>
      <c r="O173">
        <v>5</v>
      </c>
    </row>
    <row r="174" spans="1:15" x14ac:dyDescent="0.3">
      <c r="A174" t="s">
        <v>212</v>
      </c>
      <c r="B174">
        <v>43</v>
      </c>
      <c r="C174" t="s">
        <v>24</v>
      </c>
      <c r="D174" t="s">
        <v>17</v>
      </c>
      <c r="E174" t="s">
        <v>26</v>
      </c>
      <c r="F174" t="s">
        <v>27</v>
      </c>
      <c r="G174" t="s">
        <v>28</v>
      </c>
      <c r="H174">
        <v>64414</v>
      </c>
      <c r="I174">
        <v>15</v>
      </c>
      <c r="J174">
        <v>7</v>
      </c>
      <c r="K174" t="s">
        <v>29</v>
      </c>
      <c r="L174" t="s">
        <v>47</v>
      </c>
      <c r="M174">
        <v>80</v>
      </c>
      <c r="N174" t="s">
        <v>29</v>
      </c>
      <c r="O174">
        <v>4</v>
      </c>
    </row>
    <row r="175" spans="1:15" x14ac:dyDescent="0.3">
      <c r="A175" t="s">
        <v>213</v>
      </c>
      <c r="B175">
        <v>57</v>
      </c>
      <c r="C175" t="s">
        <v>16</v>
      </c>
      <c r="D175" t="s">
        <v>25</v>
      </c>
      <c r="E175" t="s">
        <v>26</v>
      </c>
      <c r="F175" t="s">
        <v>38</v>
      </c>
      <c r="G175" t="s">
        <v>20</v>
      </c>
      <c r="H175">
        <v>101010</v>
      </c>
      <c r="I175">
        <v>16</v>
      </c>
      <c r="J175">
        <v>7</v>
      </c>
      <c r="K175" t="s">
        <v>29</v>
      </c>
      <c r="L175" t="s">
        <v>30</v>
      </c>
      <c r="M175">
        <v>28</v>
      </c>
      <c r="N175" t="s">
        <v>29</v>
      </c>
      <c r="O175">
        <v>2</v>
      </c>
    </row>
    <row r="176" spans="1:15" x14ac:dyDescent="0.3">
      <c r="A176" t="s">
        <v>214</v>
      </c>
      <c r="B176">
        <v>52</v>
      </c>
      <c r="C176" t="s">
        <v>16</v>
      </c>
      <c r="D176" t="s">
        <v>35</v>
      </c>
      <c r="E176" t="s">
        <v>50</v>
      </c>
      <c r="F176" t="s">
        <v>27</v>
      </c>
      <c r="G176" t="s">
        <v>28</v>
      </c>
      <c r="H176">
        <v>92573</v>
      </c>
      <c r="I176">
        <v>6</v>
      </c>
      <c r="J176">
        <v>7</v>
      </c>
      <c r="K176" t="s">
        <v>29</v>
      </c>
      <c r="L176" t="s">
        <v>30</v>
      </c>
      <c r="M176">
        <v>24</v>
      </c>
      <c r="N176" t="s">
        <v>21</v>
      </c>
      <c r="O176">
        <v>3</v>
      </c>
    </row>
    <row r="177" spans="1:15" x14ac:dyDescent="0.3">
      <c r="A177" t="s">
        <v>215</v>
      </c>
      <c r="B177">
        <v>53</v>
      </c>
      <c r="C177" t="s">
        <v>24</v>
      </c>
      <c r="D177" t="s">
        <v>32</v>
      </c>
      <c r="E177" t="s">
        <v>50</v>
      </c>
      <c r="F177" t="s">
        <v>27</v>
      </c>
      <c r="G177" t="s">
        <v>20</v>
      </c>
      <c r="H177">
        <v>113665</v>
      </c>
      <c r="I177">
        <v>12</v>
      </c>
      <c r="J177">
        <v>5</v>
      </c>
      <c r="K177" t="s">
        <v>21</v>
      </c>
      <c r="L177" t="s">
        <v>22</v>
      </c>
      <c r="M177">
        <v>73</v>
      </c>
      <c r="N177" t="s">
        <v>29</v>
      </c>
      <c r="O177">
        <v>2</v>
      </c>
    </row>
    <row r="178" spans="1:15" x14ac:dyDescent="0.3">
      <c r="A178" t="s">
        <v>216</v>
      </c>
      <c r="B178">
        <v>21</v>
      </c>
      <c r="C178" t="s">
        <v>16</v>
      </c>
      <c r="D178" t="s">
        <v>25</v>
      </c>
      <c r="E178" t="s">
        <v>50</v>
      </c>
      <c r="F178" t="s">
        <v>19</v>
      </c>
      <c r="G178" t="s">
        <v>28</v>
      </c>
      <c r="H178">
        <v>33386</v>
      </c>
      <c r="I178">
        <v>1</v>
      </c>
      <c r="J178">
        <v>5</v>
      </c>
      <c r="K178" t="s">
        <v>29</v>
      </c>
      <c r="L178" t="s">
        <v>30</v>
      </c>
      <c r="M178">
        <v>34</v>
      </c>
      <c r="N178" t="s">
        <v>29</v>
      </c>
      <c r="O178">
        <v>5</v>
      </c>
    </row>
    <row r="179" spans="1:15" x14ac:dyDescent="0.3">
      <c r="A179" t="s">
        <v>217</v>
      </c>
      <c r="B179">
        <v>39</v>
      </c>
      <c r="C179" t="s">
        <v>24</v>
      </c>
      <c r="D179" t="s">
        <v>44</v>
      </c>
      <c r="E179" t="s">
        <v>33</v>
      </c>
      <c r="F179" t="s">
        <v>38</v>
      </c>
      <c r="G179" t="s">
        <v>20</v>
      </c>
      <c r="H179">
        <v>74460</v>
      </c>
      <c r="I179">
        <v>3</v>
      </c>
      <c r="J179">
        <v>4</v>
      </c>
      <c r="K179" t="s">
        <v>29</v>
      </c>
      <c r="L179" t="s">
        <v>30</v>
      </c>
      <c r="M179">
        <v>92</v>
      </c>
      <c r="N179" t="s">
        <v>29</v>
      </c>
      <c r="O179">
        <v>3</v>
      </c>
    </row>
    <row r="180" spans="1:15" x14ac:dyDescent="0.3">
      <c r="A180" t="s">
        <v>218</v>
      </c>
      <c r="B180">
        <v>22</v>
      </c>
      <c r="C180" t="s">
        <v>16</v>
      </c>
      <c r="D180" t="s">
        <v>32</v>
      </c>
      <c r="E180" t="s">
        <v>50</v>
      </c>
      <c r="F180" t="s">
        <v>36</v>
      </c>
      <c r="G180" t="s">
        <v>28</v>
      </c>
      <c r="H180">
        <v>26221</v>
      </c>
      <c r="I180">
        <v>9</v>
      </c>
      <c r="J180">
        <v>8</v>
      </c>
      <c r="K180" t="s">
        <v>29</v>
      </c>
      <c r="L180" t="s">
        <v>45</v>
      </c>
      <c r="M180">
        <v>11</v>
      </c>
      <c r="N180" t="s">
        <v>21</v>
      </c>
      <c r="O180">
        <v>4</v>
      </c>
    </row>
    <row r="181" spans="1:15" x14ac:dyDescent="0.3">
      <c r="A181" t="s">
        <v>219</v>
      </c>
      <c r="B181">
        <v>46</v>
      </c>
      <c r="C181" t="s">
        <v>16</v>
      </c>
      <c r="D181" t="s">
        <v>17</v>
      </c>
      <c r="E181" t="s">
        <v>26</v>
      </c>
      <c r="F181" t="s">
        <v>27</v>
      </c>
      <c r="G181" t="s">
        <v>28</v>
      </c>
      <c r="H181">
        <v>43474</v>
      </c>
      <c r="I181">
        <v>6</v>
      </c>
      <c r="J181">
        <v>3</v>
      </c>
      <c r="K181" t="s">
        <v>29</v>
      </c>
      <c r="L181" t="s">
        <v>47</v>
      </c>
      <c r="M181">
        <v>40</v>
      </c>
      <c r="N181" t="s">
        <v>29</v>
      </c>
      <c r="O181">
        <v>4</v>
      </c>
    </row>
    <row r="182" spans="1:15" x14ac:dyDescent="0.3">
      <c r="A182" t="s">
        <v>220</v>
      </c>
      <c r="B182">
        <v>52</v>
      </c>
      <c r="C182" t="s">
        <v>24</v>
      </c>
      <c r="D182" t="s">
        <v>35</v>
      </c>
      <c r="E182" t="s">
        <v>26</v>
      </c>
      <c r="F182" t="s">
        <v>38</v>
      </c>
      <c r="G182" t="s">
        <v>28</v>
      </c>
      <c r="H182">
        <v>41045</v>
      </c>
      <c r="I182">
        <v>16</v>
      </c>
      <c r="J182">
        <v>9</v>
      </c>
      <c r="K182" t="s">
        <v>29</v>
      </c>
      <c r="L182" t="s">
        <v>30</v>
      </c>
      <c r="M182">
        <v>42</v>
      </c>
      <c r="N182" t="s">
        <v>21</v>
      </c>
      <c r="O182">
        <v>4</v>
      </c>
    </row>
    <row r="183" spans="1:15" x14ac:dyDescent="0.3">
      <c r="A183" t="s">
        <v>221</v>
      </c>
      <c r="B183">
        <v>26</v>
      </c>
      <c r="C183" t="s">
        <v>16</v>
      </c>
      <c r="D183" t="s">
        <v>44</v>
      </c>
      <c r="E183" t="s">
        <v>33</v>
      </c>
      <c r="F183" t="s">
        <v>27</v>
      </c>
      <c r="G183" t="s">
        <v>28</v>
      </c>
      <c r="H183">
        <v>111319</v>
      </c>
      <c r="I183">
        <v>19</v>
      </c>
      <c r="J183">
        <v>6</v>
      </c>
      <c r="K183" t="s">
        <v>21</v>
      </c>
      <c r="L183" t="s">
        <v>47</v>
      </c>
      <c r="M183">
        <v>84</v>
      </c>
      <c r="N183" t="s">
        <v>21</v>
      </c>
      <c r="O183">
        <v>1</v>
      </c>
    </row>
    <row r="184" spans="1:15" x14ac:dyDescent="0.3">
      <c r="A184" t="s">
        <v>222</v>
      </c>
      <c r="B184">
        <v>52</v>
      </c>
      <c r="C184" t="s">
        <v>24</v>
      </c>
      <c r="D184" t="s">
        <v>44</v>
      </c>
      <c r="E184" t="s">
        <v>33</v>
      </c>
      <c r="F184" t="s">
        <v>27</v>
      </c>
      <c r="G184" t="s">
        <v>28</v>
      </c>
      <c r="H184">
        <v>24922</v>
      </c>
      <c r="I184">
        <v>5</v>
      </c>
      <c r="J184">
        <v>0</v>
      </c>
      <c r="K184" t="s">
        <v>29</v>
      </c>
      <c r="L184" t="s">
        <v>30</v>
      </c>
      <c r="M184">
        <v>56</v>
      </c>
      <c r="N184" t="s">
        <v>29</v>
      </c>
      <c r="O184">
        <v>3</v>
      </c>
    </row>
    <row r="185" spans="1:15" x14ac:dyDescent="0.3">
      <c r="A185" t="s">
        <v>223</v>
      </c>
      <c r="B185">
        <v>24</v>
      </c>
      <c r="C185" t="s">
        <v>16</v>
      </c>
      <c r="D185" t="s">
        <v>25</v>
      </c>
      <c r="E185" t="s">
        <v>50</v>
      </c>
      <c r="F185" t="s">
        <v>27</v>
      </c>
      <c r="G185" t="s">
        <v>28</v>
      </c>
      <c r="H185">
        <v>42706</v>
      </c>
      <c r="I185">
        <v>18</v>
      </c>
      <c r="J185">
        <v>8</v>
      </c>
      <c r="K185" t="s">
        <v>29</v>
      </c>
      <c r="L185" t="s">
        <v>22</v>
      </c>
      <c r="M185">
        <v>19</v>
      </c>
      <c r="N185" t="s">
        <v>21</v>
      </c>
      <c r="O185">
        <v>3</v>
      </c>
    </row>
    <row r="186" spans="1:15" x14ac:dyDescent="0.3">
      <c r="A186" t="s">
        <v>224</v>
      </c>
      <c r="B186">
        <v>31</v>
      </c>
      <c r="C186" t="s">
        <v>24</v>
      </c>
      <c r="D186" t="s">
        <v>44</v>
      </c>
      <c r="E186" t="s">
        <v>41</v>
      </c>
      <c r="F186" t="s">
        <v>27</v>
      </c>
      <c r="G186" t="s">
        <v>20</v>
      </c>
      <c r="H186">
        <v>62771</v>
      </c>
      <c r="I186">
        <v>4</v>
      </c>
      <c r="J186">
        <v>6</v>
      </c>
      <c r="K186" t="s">
        <v>21</v>
      </c>
      <c r="L186" t="s">
        <v>45</v>
      </c>
      <c r="M186">
        <v>50</v>
      </c>
      <c r="N186" t="s">
        <v>29</v>
      </c>
      <c r="O186">
        <v>1</v>
      </c>
    </row>
    <row r="187" spans="1:15" x14ac:dyDescent="0.3">
      <c r="A187" t="s">
        <v>225</v>
      </c>
      <c r="B187">
        <v>37</v>
      </c>
      <c r="C187" t="s">
        <v>24</v>
      </c>
      <c r="D187" t="s">
        <v>17</v>
      </c>
      <c r="E187" t="s">
        <v>33</v>
      </c>
      <c r="F187" t="s">
        <v>19</v>
      </c>
      <c r="G187" t="s">
        <v>28</v>
      </c>
      <c r="H187">
        <v>72335</v>
      </c>
      <c r="I187">
        <v>9</v>
      </c>
      <c r="J187">
        <v>9</v>
      </c>
      <c r="K187" t="s">
        <v>29</v>
      </c>
      <c r="L187" t="s">
        <v>30</v>
      </c>
      <c r="M187">
        <v>27</v>
      </c>
      <c r="N187" t="s">
        <v>29</v>
      </c>
      <c r="O187">
        <v>3</v>
      </c>
    </row>
    <row r="188" spans="1:15" x14ac:dyDescent="0.3">
      <c r="A188" t="s">
        <v>226</v>
      </c>
      <c r="B188">
        <v>58</v>
      </c>
      <c r="C188" t="s">
        <v>16</v>
      </c>
      <c r="D188" t="s">
        <v>17</v>
      </c>
      <c r="E188" t="s">
        <v>18</v>
      </c>
      <c r="F188" t="s">
        <v>38</v>
      </c>
      <c r="G188" t="s">
        <v>28</v>
      </c>
      <c r="H188">
        <v>118015</v>
      </c>
      <c r="I188">
        <v>8</v>
      </c>
      <c r="J188">
        <v>8</v>
      </c>
      <c r="K188" t="s">
        <v>29</v>
      </c>
      <c r="L188" t="s">
        <v>47</v>
      </c>
      <c r="M188">
        <v>16</v>
      </c>
      <c r="N188" t="s">
        <v>21</v>
      </c>
      <c r="O188">
        <v>1</v>
      </c>
    </row>
    <row r="189" spans="1:15" x14ac:dyDescent="0.3">
      <c r="A189" t="s">
        <v>227</v>
      </c>
      <c r="B189">
        <v>44</v>
      </c>
      <c r="C189" t="s">
        <v>16</v>
      </c>
      <c r="D189" t="s">
        <v>40</v>
      </c>
      <c r="E189" t="s">
        <v>26</v>
      </c>
      <c r="F189" t="s">
        <v>38</v>
      </c>
      <c r="G189" t="s">
        <v>28</v>
      </c>
      <c r="H189">
        <v>72949</v>
      </c>
      <c r="I189">
        <v>12</v>
      </c>
      <c r="J189">
        <v>6</v>
      </c>
      <c r="K189" t="s">
        <v>21</v>
      </c>
      <c r="L189" t="s">
        <v>22</v>
      </c>
      <c r="M189">
        <v>97</v>
      </c>
      <c r="N189" t="s">
        <v>21</v>
      </c>
      <c r="O189">
        <v>2</v>
      </c>
    </row>
    <row r="190" spans="1:15" x14ac:dyDescent="0.3">
      <c r="A190" t="s">
        <v>228</v>
      </c>
      <c r="B190">
        <v>25</v>
      </c>
      <c r="C190" t="s">
        <v>24</v>
      </c>
      <c r="D190" t="s">
        <v>17</v>
      </c>
      <c r="E190" t="s">
        <v>18</v>
      </c>
      <c r="F190" t="s">
        <v>38</v>
      </c>
      <c r="G190" t="s">
        <v>20</v>
      </c>
      <c r="H190">
        <v>90714</v>
      </c>
      <c r="I190">
        <v>18</v>
      </c>
      <c r="J190">
        <v>1</v>
      </c>
      <c r="K190" t="s">
        <v>29</v>
      </c>
      <c r="L190" t="s">
        <v>47</v>
      </c>
      <c r="M190">
        <v>48</v>
      </c>
      <c r="N190" t="s">
        <v>29</v>
      </c>
      <c r="O190">
        <v>5</v>
      </c>
    </row>
    <row r="191" spans="1:15" x14ac:dyDescent="0.3">
      <c r="A191" t="s">
        <v>229</v>
      </c>
      <c r="B191">
        <v>54</v>
      </c>
      <c r="C191" t="s">
        <v>16</v>
      </c>
      <c r="D191" t="s">
        <v>32</v>
      </c>
      <c r="E191" t="s">
        <v>26</v>
      </c>
      <c r="F191" t="s">
        <v>27</v>
      </c>
      <c r="G191" t="s">
        <v>20</v>
      </c>
      <c r="H191">
        <v>115558</v>
      </c>
      <c r="I191">
        <v>5</v>
      </c>
      <c r="J191">
        <v>5</v>
      </c>
      <c r="K191" t="s">
        <v>21</v>
      </c>
      <c r="L191" t="s">
        <v>22</v>
      </c>
      <c r="M191">
        <v>19</v>
      </c>
      <c r="N191" t="s">
        <v>29</v>
      </c>
      <c r="O191">
        <v>4</v>
      </c>
    </row>
    <row r="192" spans="1:15" x14ac:dyDescent="0.3">
      <c r="A192" t="s">
        <v>230</v>
      </c>
      <c r="B192">
        <v>26</v>
      </c>
      <c r="C192" t="s">
        <v>16</v>
      </c>
      <c r="D192" t="s">
        <v>44</v>
      </c>
      <c r="E192" t="s">
        <v>26</v>
      </c>
      <c r="F192" t="s">
        <v>19</v>
      </c>
      <c r="G192" t="s">
        <v>20</v>
      </c>
      <c r="H192">
        <v>35240</v>
      </c>
      <c r="I192">
        <v>3</v>
      </c>
      <c r="J192">
        <v>9</v>
      </c>
      <c r="K192" t="s">
        <v>29</v>
      </c>
      <c r="L192" t="s">
        <v>45</v>
      </c>
      <c r="M192">
        <v>97</v>
      </c>
      <c r="N192" t="s">
        <v>29</v>
      </c>
      <c r="O192">
        <v>1</v>
      </c>
    </row>
    <row r="193" spans="1:15" x14ac:dyDescent="0.3">
      <c r="A193" t="s">
        <v>231</v>
      </c>
      <c r="B193">
        <v>42</v>
      </c>
      <c r="C193" t="s">
        <v>24</v>
      </c>
      <c r="D193" t="s">
        <v>17</v>
      </c>
      <c r="E193" t="s">
        <v>33</v>
      </c>
      <c r="F193" t="s">
        <v>27</v>
      </c>
      <c r="G193" t="s">
        <v>28</v>
      </c>
      <c r="H193">
        <v>111756</v>
      </c>
      <c r="I193">
        <v>2</v>
      </c>
      <c r="J193">
        <v>3</v>
      </c>
      <c r="K193" t="s">
        <v>21</v>
      </c>
      <c r="L193" t="s">
        <v>22</v>
      </c>
      <c r="M193">
        <v>53</v>
      </c>
      <c r="N193" t="s">
        <v>29</v>
      </c>
      <c r="O193">
        <v>1</v>
      </c>
    </row>
    <row r="194" spans="1:15" x14ac:dyDescent="0.3">
      <c r="A194" t="s">
        <v>232</v>
      </c>
      <c r="B194">
        <v>31</v>
      </c>
      <c r="C194" t="s">
        <v>24</v>
      </c>
      <c r="D194" t="s">
        <v>25</v>
      </c>
      <c r="E194" t="s">
        <v>33</v>
      </c>
      <c r="F194" t="s">
        <v>27</v>
      </c>
      <c r="G194" t="s">
        <v>20</v>
      </c>
      <c r="H194">
        <v>22716</v>
      </c>
      <c r="I194">
        <v>2</v>
      </c>
      <c r="J194">
        <v>2</v>
      </c>
      <c r="K194" t="s">
        <v>21</v>
      </c>
      <c r="L194" t="s">
        <v>47</v>
      </c>
      <c r="M194">
        <v>25</v>
      </c>
      <c r="N194" t="s">
        <v>21</v>
      </c>
      <c r="O194">
        <v>1</v>
      </c>
    </row>
    <row r="195" spans="1:15" x14ac:dyDescent="0.3">
      <c r="A195" t="s">
        <v>233</v>
      </c>
      <c r="B195">
        <v>36</v>
      </c>
      <c r="C195" t="s">
        <v>16</v>
      </c>
      <c r="D195" t="s">
        <v>40</v>
      </c>
      <c r="E195" t="s">
        <v>18</v>
      </c>
      <c r="F195" t="s">
        <v>38</v>
      </c>
      <c r="G195" t="s">
        <v>20</v>
      </c>
      <c r="H195">
        <v>36574</v>
      </c>
      <c r="I195">
        <v>3</v>
      </c>
      <c r="J195">
        <v>1</v>
      </c>
      <c r="K195" t="s">
        <v>29</v>
      </c>
      <c r="L195" t="s">
        <v>47</v>
      </c>
      <c r="M195">
        <v>19</v>
      </c>
      <c r="N195" t="s">
        <v>21</v>
      </c>
      <c r="O195">
        <v>2</v>
      </c>
    </row>
    <row r="196" spans="1:15" x14ac:dyDescent="0.3">
      <c r="A196" t="s">
        <v>234</v>
      </c>
      <c r="B196">
        <v>53</v>
      </c>
      <c r="C196" t="s">
        <v>24</v>
      </c>
      <c r="D196" t="s">
        <v>44</v>
      </c>
      <c r="E196" t="s">
        <v>26</v>
      </c>
      <c r="F196" t="s">
        <v>27</v>
      </c>
      <c r="G196" t="s">
        <v>28</v>
      </c>
      <c r="H196">
        <v>103255</v>
      </c>
      <c r="I196">
        <v>4</v>
      </c>
      <c r="J196">
        <v>5</v>
      </c>
      <c r="K196" t="s">
        <v>21</v>
      </c>
      <c r="L196" t="s">
        <v>30</v>
      </c>
      <c r="M196">
        <v>18</v>
      </c>
      <c r="N196" t="s">
        <v>21</v>
      </c>
      <c r="O196">
        <v>1</v>
      </c>
    </row>
    <row r="197" spans="1:15" x14ac:dyDescent="0.3">
      <c r="A197" t="s">
        <v>235</v>
      </c>
      <c r="B197">
        <v>29</v>
      </c>
      <c r="C197" t="s">
        <v>24</v>
      </c>
      <c r="D197" t="s">
        <v>40</v>
      </c>
      <c r="E197" t="s">
        <v>18</v>
      </c>
      <c r="F197" t="s">
        <v>36</v>
      </c>
      <c r="G197" t="s">
        <v>28</v>
      </c>
      <c r="H197">
        <v>93717</v>
      </c>
      <c r="I197">
        <v>7</v>
      </c>
      <c r="J197">
        <v>7</v>
      </c>
      <c r="K197" t="s">
        <v>21</v>
      </c>
      <c r="L197" t="s">
        <v>22</v>
      </c>
      <c r="M197">
        <v>46</v>
      </c>
      <c r="N197" t="s">
        <v>29</v>
      </c>
      <c r="O197">
        <v>5</v>
      </c>
    </row>
    <row r="198" spans="1:15" x14ac:dyDescent="0.3">
      <c r="A198" t="s">
        <v>236</v>
      </c>
      <c r="B198">
        <v>26</v>
      </c>
      <c r="C198" t="s">
        <v>24</v>
      </c>
      <c r="D198" t="s">
        <v>44</v>
      </c>
      <c r="E198" t="s">
        <v>41</v>
      </c>
      <c r="F198" t="s">
        <v>27</v>
      </c>
      <c r="G198" t="s">
        <v>20</v>
      </c>
      <c r="H198">
        <v>64066</v>
      </c>
      <c r="I198">
        <v>15</v>
      </c>
      <c r="J198">
        <v>5</v>
      </c>
      <c r="K198" t="s">
        <v>29</v>
      </c>
      <c r="L198" t="s">
        <v>47</v>
      </c>
      <c r="M198">
        <v>84</v>
      </c>
      <c r="N198" t="s">
        <v>21</v>
      </c>
      <c r="O198">
        <v>5</v>
      </c>
    </row>
    <row r="199" spans="1:15" x14ac:dyDescent="0.3">
      <c r="A199" t="s">
        <v>237</v>
      </c>
      <c r="B199">
        <v>36</v>
      </c>
      <c r="C199" t="s">
        <v>16</v>
      </c>
      <c r="D199" t="s">
        <v>25</v>
      </c>
      <c r="E199" t="s">
        <v>18</v>
      </c>
      <c r="F199" t="s">
        <v>36</v>
      </c>
      <c r="G199" t="s">
        <v>28</v>
      </c>
      <c r="H199">
        <v>81826</v>
      </c>
      <c r="I199">
        <v>2</v>
      </c>
      <c r="J199">
        <v>8</v>
      </c>
      <c r="K199" t="s">
        <v>29</v>
      </c>
      <c r="L199" t="s">
        <v>30</v>
      </c>
      <c r="M199">
        <v>19</v>
      </c>
      <c r="N199" t="s">
        <v>21</v>
      </c>
      <c r="O199">
        <v>4</v>
      </c>
    </row>
    <row r="200" spans="1:15" x14ac:dyDescent="0.3">
      <c r="A200" t="s">
        <v>238</v>
      </c>
      <c r="B200">
        <v>49</v>
      </c>
      <c r="C200" t="s">
        <v>16</v>
      </c>
      <c r="D200" t="s">
        <v>40</v>
      </c>
      <c r="E200" t="s">
        <v>50</v>
      </c>
      <c r="F200" t="s">
        <v>27</v>
      </c>
      <c r="G200" t="s">
        <v>28</v>
      </c>
      <c r="H200">
        <v>40213</v>
      </c>
      <c r="I200">
        <v>11</v>
      </c>
      <c r="J200">
        <v>4</v>
      </c>
      <c r="K200" t="s">
        <v>21</v>
      </c>
      <c r="L200" t="s">
        <v>45</v>
      </c>
      <c r="M200">
        <v>67</v>
      </c>
      <c r="N200" t="s">
        <v>21</v>
      </c>
      <c r="O200">
        <v>2</v>
      </c>
    </row>
    <row r="201" spans="1:15" x14ac:dyDescent="0.3">
      <c r="A201" t="s">
        <v>239</v>
      </c>
      <c r="B201">
        <v>23</v>
      </c>
      <c r="C201" t="s">
        <v>24</v>
      </c>
      <c r="D201" t="s">
        <v>35</v>
      </c>
      <c r="E201" t="s">
        <v>18</v>
      </c>
      <c r="F201" t="s">
        <v>19</v>
      </c>
      <c r="G201" t="s">
        <v>28</v>
      </c>
      <c r="H201">
        <v>91916</v>
      </c>
      <c r="I201">
        <v>7</v>
      </c>
      <c r="J201">
        <v>1</v>
      </c>
      <c r="K201" t="s">
        <v>29</v>
      </c>
      <c r="L201" t="s">
        <v>47</v>
      </c>
      <c r="M201">
        <v>72</v>
      </c>
      <c r="N201" t="s">
        <v>21</v>
      </c>
      <c r="O201">
        <v>5</v>
      </c>
    </row>
    <row r="202" spans="1:15" x14ac:dyDescent="0.3">
      <c r="A202" t="s">
        <v>240</v>
      </c>
      <c r="B202">
        <v>40</v>
      </c>
      <c r="C202" t="s">
        <v>16</v>
      </c>
      <c r="D202" t="s">
        <v>32</v>
      </c>
      <c r="E202" t="s">
        <v>50</v>
      </c>
      <c r="F202" t="s">
        <v>19</v>
      </c>
      <c r="G202" t="s">
        <v>28</v>
      </c>
      <c r="H202">
        <v>86151</v>
      </c>
      <c r="I202">
        <v>12</v>
      </c>
      <c r="J202">
        <v>7</v>
      </c>
      <c r="K202" t="s">
        <v>21</v>
      </c>
      <c r="L202" t="s">
        <v>30</v>
      </c>
      <c r="M202">
        <v>31</v>
      </c>
      <c r="N202" t="s">
        <v>29</v>
      </c>
      <c r="O202">
        <v>3</v>
      </c>
    </row>
    <row r="203" spans="1:15" x14ac:dyDescent="0.3">
      <c r="A203" t="s">
        <v>241</v>
      </c>
      <c r="B203">
        <v>56</v>
      </c>
      <c r="C203" t="s">
        <v>24</v>
      </c>
      <c r="D203" t="s">
        <v>32</v>
      </c>
      <c r="E203" t="s">
        <v>50</v>
      </c>
      <c r="F203" t="s">
        <v>38</v>
      </c>
      <c r="G203" t="s">
        <v>20</v>
      </c>
      <c r="H203">
        <v>70906</v>
      </c>
      <c r="I203">
        <v>3</v>
      </c>
      <c r="J203">
        <v>8</v>
      </c>
      <c r="K203" t="s">
        <v>21</v>
      </c>
      <c r="L203" t="s">
        <v>47</v>
      </c>
      <c r="M203">
        <v>91</v>
      </c>
      <c r="N203" t="s">
        <v>21</v>
      </c>
      <c r="O203">
        <v>3</v>
      </c>
    </row>
    <row r="204" spans="1:15" x14ac:dyDescent="0.3">
      <c r="A204" t="s">
        <v>242</v>
      </c>
      <c r="B204">
        <v>39</v>
      </c>
      <c r="C204" t="s">
        <v>16</v>
      </c>
      <c r="D204" t="s">
        <v>44</v>
      </c>
      <c r="E204" t="s">
        <v>50</v>
      </c>
      <c r="F204" t="s">
        <v>27</v>
      </c>
      <c r="G204" t="s">
        <v>28</v>
      </c>
      <c r="H204">
        <v>20463</v>
      </c>
      <c r="I204">
        <v>13</v>
      </c>
      <c r="J204">
        <v>9</v>
      </c>
      <c r="K204" t="s">
        <v>29</v>
      </c>
      <c r="L204" t="s">
        <v>22</v>
      </c>
      <c r="M204">
        <v>97</v>
      </c>
      <c r="N204" t="s">
        <v>21</v>
      </c>
      <c r="O204">
        <v>3</v>
      </c>
    </row>
    <row r="205" spans="1:15" x14ac:dyDescent="0.3">
      <c r="A205" t="s">
        <v>243</v>
      </c>
      <c r="B205">
        <v>46</v>
      </c>
      <c r="C205" t="s">
        <v>24</v>
      </c>
      <c r="D205" t="s">
        <v>35</v>
      </c>
      <c r="E205" t="s">
        <v>41</v>
      </c>
      <c r="F205" t="s">
        <v>36</v>
      </c>
      <c r="G205" t="s">
        <v>20</v>
      </c>
      <c r="H205">
        <v>51973</v>
      </c>
      <c r="I205">
        <v>13</v>
      </c>
      <c r="J205">
        <v>3</v>
      </c>
      <c r="K205" t="s">
        <v>29</v>
      </c>
      <c r="L205" t="s">
        <v>30</v>
      </c>
      <c r="M205">
        <v>57</v>
      </c>
      <c r="N205" t="s">
        <v>21</v>
      </c>
      <c r="O205">
        <v>1</v>
      </c>
    </row>
    <row r="206" spans="1:15" x14ac:dyDescent="0.3">
      <c r="A206" t="s">
        <v>244</v>
      </c>
      <c r="B206">
        <v>23</v>
      </c>
      <c r="C206" t="s">
        <v>24</v>
      </c>
      <c r="D206" t="s">
        <v>40</v>
      </c>
      <c r="E206" t="s">
        <v>18</v>
      </c>
      <c r="F206" t="s">
        <v>36</v>
      </c>
      <c r="G206" t="s">
        <v>20</v>
      </c>
      <c r="H206">
        <v>94694</v>
      </c>
      <c r="I206">
        <v>12</v>
      </c>
      <c r="J206">
        <v>5</v>
      </c>
      <c r="K206" t="s">
        <v>21</v>
      </c>
      <c r="L206" t="s">
        <v>22</v>
      </c>
      <c r="M206">
        <v>56</v>
      </c>
      <c r="N206" t="s">
        <v>21</v>
      </c>
      <c r="O206">
        <v>1</v>
      </c>
    </row>
    <row r="207" spans="1:15" x14ac:dyDescent="0.3">
      <c r="A207" t="s">
        <v>245</v>
      </c>
      <c r="B207">
        <v>39</v>
      </c>
      <c r="C207" t="s">
        <v>16</v>
      </c>
      <c r="D207" t="s">
        <v>35</v>
      </c>
      <c r="E207" t="s">
        <v>18</v>
      </c>
      <c r="F207" t="s">
        <v>27</v>
      </c>
      <c r="G207" t="s">
        <v>20</v>
      </c>
      <c r="H207">
        <v>40651</v>
      </c>
      <c r="I207">
        <v>5</v>
      </c>
      <c r="J207">
        <v>9</v>
      </c>
      <c r="K207" t="s">
        <v>29</v>
      </c>
      <c r="L207" t="s">
        <v>45</v>
      </c>
      <c r="M207">
        <v>67</v>
      </c>
      <c r="N207" t="s">
        <v>29</v>
      </c>
      <c r="O207">
        <v>3</v>
      </c>
    </row>
    <row r="208" spans="1:15" x14ac:dyDescent="0.3">
      <c r="A208" t="s">
        <v>246</v>
      </c>
      <c r="B208">
        <v>40</v>
      </c>
      <c r="C208" t="s">
        <v>24</v>
      </c>
      <c r="D208" t="s">
        <v>35</v>
      </c>
      <c r="E208" t="s">
        <v>41</v>
      </c>
      <c r="F208" t="s">
        <v>36</v>
      </c>
      <c r="G208" t="s">
        <v>20</v>
      </c>
      <c r="H208">
        <v>88694</v>
      </c>
      <c r="I208">
        <v>16</v>
      </c>
      <c r="J208">
        <v>7</v>
      </c>
      <c r="K208" t="s">
        <v>29</v>
      </c>
      <c r="L208" t="s">
        <v>22</v>
      </c>
      <c r="M208">
        <v>77</v>
      </c>
      <c r="N208" t="s">
        <v>29</v>
      </c>
      <c r="O208">
        <v>4</v>
      </c>
    </row>
    <row r="209" spans="1:15" x14ac:dyDescent="0.3">
      <c r="A209" t="s">
        <v>247</v>
      </c>
      <c r="B209">
        <v>52</v>
      </c>
      <c r="C209" t="s">
        <v>16</v>
      </c>
      <c r="D209" t="s">
        <v>40</v>
      </c>
      <c r="E209" t="s">
        <v>26</v>
      </c>
      <c r="F209" t="s">
        <v>19</v>
      </c>
      <c r="G209" t="s">
        <v>28</v>
      </c>
      <c r="H209">
        <v>40008</v>
      </c>
      <c r="I209">
        <v>3</v>
      </c>
      <c r="J209">
        <v>8</v>
      </c>
      <c r="K209" t="s">
        <v>21</v>
      </c>
      <c r="L209" t="s">
        <v>30</v>
      </c>
      <c r="M209">
        <v>57</v>
      </c>
      <c r="N209" t="s">
        <v>21</v>
      </c>
      <c r="O209">
        <v>4</v>
      </c>
    </row>
    <row r="210" spans="1:15" x14ac:dyDescent="0.3">
      <c r="A210" t="s">
        <v>248</v>
      </c>
      <c r="B210">
        <v>27</v>
      </c>
      <c r="C210" t="s">
        <v>16</v>
      </c>
      <c r="D210" t="s">
        <v>25</v>
      </c>
      <c r="E210" t="s">
        <v>33</v>
      </c>
      <c r="F210" t="s">
        <v>36</v>
      </c>
      <c r="G210" t="s">
        <v>28</v>
      </c>
      <c r="H210">
        <v>90474</v>
      </c>
      <c r="I210">
        <v>7</v>
      </c>
      <c r="J210">
        <v>4</v>
      </c>
      <c r="K210" t="s">
        <v>21</v>
      </c>
      <c r="L210" t="s">
        <v>47</v>
      </c>
      <c r="M210">
        <v>61</v>
      </c>
      <c r="N210" t="s">
        <v>29</v>
      </c>
      <c r="O210">
        <v>1</v>
      </c>
    </row>
    <row r="211" spans="1:15" x14ac:dyDescent="0.3">
      <c r="A211" t="s">
        <v>249</v>
      </c>
      <c r="B211">
        <v>53</v>
      </c>
      <c r="C211" t="s">
        <v>24</v>
      </c>
      <c r="D211" t="s">
        <v>35</v>
      </c>
      <c r="E211" t="s">
        <v>18</v>
      </c>
      <c r="F211" t="s">
        <v>38</v>
      </c>
      <c r="G211" t="s">
        <v>28</v>
      </c>
      <c r="H211">
        <v>58185</v>
      </c>
      <c r="I211">
        <v>16</v>
      </c>
      <c r="J211">
        <v>5</v>
      </c>
      <c r="K211" t="s">
        <v>21</v>
      </c>
      <c r="L211" t="s">
        <v>30</v>
      </c>
      <c r="M211">
        <v>56</v>
      </c>
      <c r="N211" t="s">
        <v>29</v>
      </c>
      <c r="O211">
        <v>3</v>
      </c>
    </row>
    <row r="212" spans="1:15" x14ac:dyDescent="0.3">
      <c r="A212" t="s">
        <v>250</v>
      </c>
      <c r="B212">
        <v>59</v>
      </c>
      <c r="C212" t="s">
        <v>24</v>
      </c>
      <c r="D212" t="s">
        <v>35</v>
      </c>
      <c r="E212" t="s">
        <v>33</v>
      </c>
      <c r="F212" t="s">
        <v>19</v>
      </c>
      <c r="G212" t="s">
        <v>20</v>
      </c>
      <c r="H212">
        <v>107924</v>
      </c>
      <c r="I212">
        <v>2</v>
      </c>
      <c r="J212">
        <v>3</v>
      </c>
      <c r="K212" t="s">
        <v>21</v>
      </c>
      <c r="L212" t="s">
        <v>22</v>
      </c>
      <c r="M212">
        <v>47</v>
      </c>
      <c r="N212" t="s">
        <v>29</v>
      </c>
      <c r="O212">
        <v>4</v>
      </c>
    </row>
    <row r="213" spans="1:15" x14ac:dyDescent="0.3">
      <c r="A213" t="s">
        <v>251</v>
      </c>
      <c r="B213">
        <v>38</v>
      </c>
      <c r="C213" t="s">
        <v>16</v>
      </c>
      <c r="D213" t="s">
        <v>25</v>
      </c>
      <c r="E213" t="s">
        <v>41</v>
      </c>
      <c r="F213" t="s">
        <v>19</v>
      </c>
      <c r="G213" t="s">
        <v>20</v>
      </c>
      <c r="H213">
        <v>94417</v>
      </c>
      <c r="I213">
        <v>16</v>
      </c>
      <c r="J213">
        <v>4</v>
      </c>
      <c r="K213" t="s">
        <v>21</v>
      </c>
      <c r="L213" t="s">
        <v>22</v>
      </c>
      <c r="M213">
        <v>11</v>
      </c>
      <c r="N213" t="s">
        <v>29</v>
      </c>
      <c r="O213">
        <v>1</v>
      </c>
    </row>
    <row r="214" spans="1:15" x14ac:dyDescent="0.3">
      <c r="A214" t="s">
        <v>252</v>
      </c>
      <c r="B214">
        <v>21</v>
      </c>
      <c r="C214" t="s">
        <v>24</v>
      </c>
      <c r="D214" t="s">
        <v>35</v>
      </c>
      <c r="E214" t="s">
        <v>26</v>
      </c>
      <c r="F214" t="s">
        <v>19</v>
      </c>
      <c r="G214" t="s">
        <v>20</v>
      </c>
      <c r="H214">
        <v>91139</v>
      </c>
      <c r="I214">
        <v>8</v>
      </c>
      <c r="J214">
        <v>6</v>
      </c>
      <c r="K214" t="s">
        <v>21</v>
      </c>
      <c r="L214" t="s">
        <v>47</v>
      </c>
      <c r="M214">
        <v>46</v>
      </c>
      <c r="N214" t="s">
        <v>21</v>
      </c>
      <c r="O214">
        <v>3</v>
      </c>
    </row>
    <row r="215" spans="1:15" x14ac:dyDescent="0.3">
      <c r="A215" t="s">
        <v>253</v>
      </c>
      <c r="B215">
        <v>31</v>
      </c>
      <c r="C215" t="s">
        <v>24</v>
      </c>
      <c r="D215" t="s">
        <v>35</v>
      </c>
      <c r="E215" t="s">
        <v>26</v>
      </c>
      <c r="F215" t="s">
        <v>27</v>
      </c>
      <c r="G215" t="s">
        <v>28</v>
      </c>
      <c r="H215">
        <v>54980</v>
      </c>
      <c r="I215">
        <v>1</v>
      </c>
      <c r="J215">
        <v>8</v>
      </c>
      <c r="K215" t="s">
        <v>29</v>
      </c>
      <c r="L215" t="s">
        <v>45</v>
      </c>
      <c r="M215">
        <v>8</v>
      </c>
      <c r="N215" t="s">
        <v>29</v>
      </c>
      <c r="O215">
        <v>2</v>
      </c>
    </row>
    <row r="216" spans="1:15" x14ac:dyDescent="0.3">
      <c r="A216" t="s">
        <v>254</v>
      </c>
      <c r="B216">
        <v>48</v>
      </c>
      <c r="C216" t="s">
        <v>24</v>
      </c>
      <c r="D216" t="s">
        <v>35</v>
      </c>
      <c r="E216" t="s">
        <v>26</v>
      </c>
      <c r="F216" t="s">
        <v>27</v>
      </c>
      <c r="G216" t="s">
        <v>20</v>
      </c>
      <c r="H216">
        <v>42504</v>
      </c>
      <c r="I216">
        <v>12</v>
      </c>
      <c r="J216">
        <v>9</v>
      </c>
      <c r="K216" t="s">
        <v>21</v>
      </c>
      <c r="L216" t="s">
        <v>30</v>
      </c>
      <c r="M216">
        <v>73</v>
      </c>
      <c r="N216" t="s">
        <v>29</v>
      </c>
      <c r="O216">
        <v>3</v>
      </c>
    </row>
    <row r="217" spans="1:15" x14ac:dyDescent="0.3">
      <c r="A217" t="s">
        <v>255</v>
      </c>
      <c r="B217">
        <v>45</v>
      </c>
      <c r="C217" t="s">
        <v>24</v>
      </c>
      <c r="D217" t="s">
        <v>32</v>
      </c>
      <c r="E217" t="s">
        <v>41</v>
      </c>
      <c r="F217" t="s">
        <v>19</v>
      </c>
      <c r="G217" t="s">
        <v>28</v>
      </c>
      <c r="H217">
        <v>74970</v>
      </c>
      <c r="I217">
        <v>19</v>
      </c>
      <c r="J217">
        <v>5</v>
      </c>
      <c r="K217" t="s">
        <v>29</v>
      </c>
      <c r="L217" t="s">
        <v>47</v>
      </c>
      <c r="M217">
        <v>9</v>
      </c>
      <c r="N217" t="s">
        <v>21</v>
      </c>
      <c r="O217">
        <v>3</v>
      </c>
    </row>
    <row r="218" spans="1:15" x14ac:dyDescent="0.3">
      <c r="A218" t="s">
        <v>256</v>
      </c>
      <c r="B218">
        <v>43</v>
      </c>
      <c r="C218" t="s">
        <v>24</v>
      </c>
      <c r="D218" t="s">
        <v>17</v>
      </c>
      <c r="E218" t="s">
        <v>50</v>
      </c>
      <c r="F218" t="s">
        <v>27</v>
      </c>
      <c r="G218" t="s">
        <v>28</v>
      </c>
      <c r="H218">
        <v>36766</v>
      </c>
      <c r="I218">
        <v>1</v>
      </c>
      <c r="J218">
        <v>5</v>
      </c>
      <c r="K218" t="s">
        <v>29</v>
      </c>
      <c r="L218" t="s">
        <v>47</v>
      </c>
      <c r="M218">
        <v>79</v>
      </c>
      <c r="N218" t="s">
        <v>21</v>
      </c>
      <c r="O218">
        <v>5</v>
      </c>
    </row>
    <row r="219" spans="1:15" x14ac:dyDescent="0.3">
      <c r="A219" t="s">
        <v>257</v>
      </c>
      <c r="B219">
        <v>51</v>
      </c>
      <c r="C219" t="s">
        <v>16</v>
      </c>
      <c r="D219" t="s">
        <v>25</v>
      </c>
      <c r="E219" t="s">
        <v>50</v>
      </c>
      <c r="F219" t="s">
        <v>36</v>
      </c>
      <c r="G219" t="s">
        <v>28</v>
      </c>
      <c r="H219">
        <v>113922</v>
      </c>
      <c r="I219">
        <v>19</v>
      </c>
      <c r="J219">
        <v>7</v>
      </c>
      <c r="K219" t="s">
        <v>21</v>
      </c>
      <c r="L219" t="s">
        <v>47</v>
      </c>
      <c r="M219">
        <v>96</v>
      </c>
      <c r="N219" t="s">
        <v>21</v>
      </c>
      <c r="O219">
        <v>5</v>
      </c>
    </row>
    <row r="220" spans="1:15" x14ac:dyDescent="0.3">
      <c r="A220" t="s">
        <v>258</v>
      </c>
      <c r="B220">
        <v>50</v>
      </c>
      <c r="C220" t="s">
        <v>16</v>
      </c>
      <c r="D220" t="s">
        <v>35</v>
      </c>
      <c r="E220" t="s">
        <v>33</v>
      </c>
      <c r="F220" t="s">
        <v>27</v>
      </c>
      <c r="G220" t="s">
        <v>28</v>
      </c>
      <c r="H220">
        <v>31695</v>
      </c>
      <c r="I220">
        <v>10</v>
      </c>
      <c r="J220">
        <v>3</v>
      </c>
      <c r="K220" t="s">
        <v>29</v>
      </c>
      <c r="L220" t="s">
        <v>30</v>
      </c>
      <c r="M220">
        <v>84</v>
      </c>
      <c r="N220" t="s">
        <v>21</v>
      </c>
      <c r="O220">
        <v>2</v>
      </c>
    </row>
    <row r="221" spans="1:15" x14ac:dyDescent="0.3">
      <c r="A221" t="s">
        <v>259</v>
      </c>
      <c r="B221">
        <v>55</v>
      </c>
      <c r="C221" t="s">
        <v>24</v>
      </c>
      <c r="D221" t="s">
        <v>32</v>
      </c>
      <c r="E221" t="s">
        <v>50</v>
      </c>
      <c r="F221" t="s">
        <v>27</v>
      </c>
      <c r="G221" t="s">
        <v>20</v>
      </c>
      <c r="H221">
        <v>37796</v>
      </c>
      <c r="I221">
        <v>14</v>
      </c>
      <c r="J221">
        <v>2</v>
      </c>
      <c r="K221" t="s">
        <v>21</v>
      </c>
      <c r="L221" t="s">
        <v>30</v>
      </c>
      <c r="M221">
        <v>45</v>
      </c>
      <c r="N221" t="s">
        <v>29</v>
      </c>
      <c r="O221">
        <v>2</v>
      </c>
    </row>
    <row r="222" spans="1:15" x14ac:dyDescent="0.3">
      <c r="A222" t="s">
        <v>260</v>
      </c>
      <c r="B222">
        <v>27</v>
      </c>
      <c r="C222" t="s">
        <v>24</v>
      </c>
      <c r="D222" t="s">
        <v>25</v>
      </c>
      <c r="E222" t="s">
        <v>50</v>
      </c>
      <c r="F222" t="s">
        <v>19</v>
      </c>
      <c r="G222" t="s">
        <v>28</v>
      </c>
      <c r="H222">
        <v>62543</v>
      </c>
      <c r="I222">
        <v>10</v>
      </c>
      <c r="J222">
        <v>6</v>
      </c>
      <c r="K222" t="s">
        <v>29</v>
      </c>
      <c r="L222" t="s">
        <v>30</v>
      </c>
      <c r="M222">
        <v>98</v>
      </c>
      <c r="N222" t="s">
        <v>21</v>
      </c>
      <c r="O222">
        <v>3</v>
      </c>
    </row>
    <row r="223" spans="1:15" x14ac:dyDescent="0.3">
      <c r="A223" t="s">
        <v>261</v>
      </c>
      <c r="B223">
        <v>36</v>
      </c>
      <c r="C223" t="s">
        <v>24</v>
      </c>
      <c r="D223" t="s">
        <v>44</v>
      </c>
      <c r="E223" t="s">
        <v>26</v>
      </c>
      <c r="F223" t="s">
        <v>38</v>
      </c>
      <c r="G223" t="s">
        <v>20</v>
      </c>
      <c r="H223">
        <v>34559</v>
      </c>
      <c r="I223">
        <v>2</v>
      </c>
      <c r="J223">
        <v>4</v>
      </c>
      <c r="K223" t="s">
        <v>21</v>
      </c>
      <c r="L223" t="s">
        <v>45</v>
      </c>
      <c r="M223">
        <v>8</v>
      </c>
      <c r="N223" t="s">
        <v>29</v>
      </c>
      <c r="O223">
        <v>4</v>
      </c>
    </row>
    <row r="224" spans="1:15" x14ac:dyDescent="0.3">
      <c r="A224" t="s">
        <v>262</v>
      </c>
      <c r="B224">
        <v>46</v>
      </c>
      <c r="C224" t="s">
        <v>16</v>
      </c>
      <c r="D224" t="s">
        <v>44</v>
      </c>
      <c r="E224" t="s">
        <v>26</v>
      </c>
      <c r="F224" t="s">
        <v>38</v>
      </c>
      <c r="G224" t="s">
        <v>28</v>
      </c>
      <c r="H224">
        <v>53139</v>
      </c>
      <c r="I224">
        <v>2</v>
      </c>
      <c r="J224">
        <v>1</v>
      </c>
      <c r="K224" t="s">
        <v>21</v>
      </c>
      <c r="L224" t="s">
        <v>47</v>
      </c>
      <c r="M224">
        <v>6</v>
      </c>
      <c r="N224" t="s">
        <v>29</v>
      </c>
      <c r="O224">
        <v>2</v>
      </c>
    </row>
    <row r="225" spans="1:15" x14ac:dyDescent="0.3">
      <c r="A225" t="s">
        <v>263</v>
      </c>
      <c r="B225">
        <v>22</v>
      </c>
      <c r="C225" t="s">
        <v>24</v>
      </c>
      <c r="D225" t="s">
        <v>35</v>
      </c>
      <c r="E225" t="s">
        <v>33</v>
      </c>
      <c r="F225" t="s">
        <v>38</v>
      </c>
      <c r="G225" t="s">
        <v>20</v>
      </c>
      <c r="H225">
        <v>28802</v>
      </c>
      <c r="I225">
        <v>11</v>
      </c>
      <c r="J225">
        <v>1</v>
      </c>
      <c r="K225" t="s">
        <v>21</v>
      </c>
      <c r="L225" t="s">
        <v>22</v>
      </c>
      <c r="M225">
        <v>71</v>
      </c>
      <c r="N225" t="s">
        <v>21</v>
      </c>
      <c r="O225">
        <v>3</v>
      </c>
    </row>
    <row r="226" spans="1:15" x14ac:dyDescent="0.3">
      <c r="A226" t="s">
        <v>264</v>
      </c>
      <c r="B226">
        <v>21</v>
      </c>
      <c r="C226" t="s">
        <v>16</v>
      </c>
      <c r="D226" t="s">
        <v>32</v>
      </c>
      <c r="E226" t="s">
        <v>18</v>
      </c>
      <c r="F226" t="s">
        <v>36</v>
      </c>
      <c r="G226" t="s">
        <v>20</v>
      </c>
      <c r="H226">
        <v>93843</v>
      </c>
      <c r="I226">
        <v>4</v>
      </c>
      <c r="J226">
        <v>5</v>
      </c>
      <c r="K226" t="s">
        <v>21</v>
      </c>
      <c r="L226" t="s">
        <v>22</v>
      </c>
      <c r="M226">
        <v>25</v>
      </c>
      <c r="N226" t="s">
        <v>21</v>
      </c>
      <c r="O226">
        <v>1</v>
      </c>
    </row>
    <row r="227" spans="1:15" x14ac:dyDescent="0.3">
      <c r="A227" t="s">
        <v>265</v>
      </c>
      <c r="B227">
        <v>32</v>
      </c>
      <c r="C227" t="s">
        <v>16</v>
      </c>
      <c r="D227" t="s">
        <v>32</v>
      </c>
      <c r="E227" t="s">
        <v>33</v>
      </c>
      <c r="F227" t="s">
        <v>27</v>
      </c>
      <c r="G227" t="s">
        <v>28</v>
      </c>
      <c r="H227">
        <v>60205</v>
      </c>
      <c r="I227">
        <v>19</v>
      </c>
      <c r="J227">
        <v>7</v>
      </c>
      <c r="K227" t="s">
        <v>29</v>
      </c>
      <c r="L227" t="s">
        <v>47</v>
      </c>
      <c r="M227">
        <v>74</v>
      </c>
      <c r="N227" t="s">
        <v>29</v>
      </c>
      <c r="O227">
        <v>5</v>
      </c>
    </row>
    <row r="228" spans="1:15" x14ac:dyDescent="0.3">
      <c r="A228" t="s">
        <v>266</v>
      </c>
      <c r="B228">
        <v>25</v>
      </c>
      <c r="C228" t="s">
        <v>16</v>
      </c>
      <c r="D228" t="s">
        <v>25</v>
      </c>
      <c r="E228" t="s">
        <v>33</v>
      </c>
      <c r="F228" t="s">
        <v>38</v>
      </c>
      <c r="G228" t="s">
        <v>28</v>
      </c>
      <c r="H228">
        <v>118750</v>
      </c>
      <c r="I228">
        <v>6</v>
      </c>
      <c r="J228">
        <v>0</v>
      </c>
      <c r="K228" t="s">
        <v>29</v>
      </c>
      <c r="L228" t="s">
        <v>22</v>
      </c>
      <c r="M228">
        <v>47</v>
      </c>
      <c r="N228" t="s">
        <v>29</v>
      </c>
      <c r="O228">
        <v>4</v>
      </c>
    </row>
    <row r="229" spans="1:15" x14ac:dyDescent="0.3">
      <c r="A229" t="s">
        <v>267</v>
      </c>
      <c r="B229">
        <v>57</v>
      </c>
      <c r="C229" t="s">
        <v>24</v>
      </c>
      <c r="D229" t="s">
        <v>25</v>
      </c>
      <c r="E229" t="s">
        <v>41</v>
      </c>
      <c r="F229" t="s">
        <v>19</v>
      </c>
      <c r="G229" t="s">
        <v>28</v>
      </c>
      <c r="H229">
        <v>54159</v>
      </c>
      <c r="I229">
        <v>6</v>
      </c>
      <c r="J229">
        <v>5</v>
      </c>
      <c r="K229" t="s">
        <v>29</v>
      </c>
      <c r="L229" t="s">
        <v>45</v>
      </c>
      <c r="M229">
        <v>86</v>
      </c>
      <c r="N229" t="s">
        <v>21</v>
      </c>
      <c r="O229">
        <v>3</v>
      </c>
    </row>
    <row r="230" spans="1:15" x14ac:dyDescent="0.3">
      <c r="A230" t="s">
        <v>268</v>
      </c>
      <c r="B230">
        <v>52</v>
      </c>
      <c r="C230" t="s">
        <v>16</v>
      </c>
      <c r="D230" t="s">
        <v>32</v>
      </c>
      <c r="E230" t="s">
        <v>41</v>
      </c>
      <c r="F230" t="s">
        <v>38</v>
      </c>
      <c r="G230" t="s">
        <v>20</v>
      </c>
      <c r="H230">
        <v>31516</v>
      </c>
      <c r="I230">
        <v>12</v>
      </c>
      <c r="J230">
        <v>1</v>
      </c>
      <c r="K230" t="s">
        <v>29</v>
      </c>
      <c r="L230" t="s">
        <v>45</v>
      </c>
      <c r="M230">
        <v>73</v>
      </c>
      <c r="N230" t="s">
        <v>21</v>
      </c>
      <c r="O230">
        <v>1</v>
      </c>
    </row>
    <row r="231" spans="1:15" x14ac:dyDescent="0.3">
      <c r="A231" t="s">
        <v>269</v>
      </c>
      <c r="B231">
        <v>29</v>
      </c>
      <c r="C231" t="s">
        <v>24</v>
      </c>
      <c r="D231" t="s">
        <v>25</v>
      </c>
      <c r="E231" t="s">
        <v>33</v>
      </c>
      <c r="F231" t="s">
        <v>38</v>
      </c>
      <c r="G231" t="s">
        <v>28</v>
      </c>
      <c r="H231">
        <v>70492</v>
      </c>
      <c r="I231">
        <v>8</v>
      </c>
      <c r="J231">
        <v>1</v>
      </c>
      <c r="K231" t="s">
        <v>29</v>
      </c>
      <c r="L231" t="s">
        <v>30</v>
      </c>
      <c r="M231">
        <v>13</v>
      </c>
      <c r="N231" t="s">
        <v>21</v>
      </c>
      <c r="O231">
        <v>5</v>
      </c>
    </row>
    <row r="232" spans="1:15" x14ac:dyDescent="0.3">
      <c r="A232" t="s">
        <v>270</v>
      </c>
      <c r="B232">
        <v>55</v>
      </c>
      <c r="C232" t="s">
        <v>16</v>
      </c>
      <c r="D232" t="s">
        <v>32</v>
      </c>
      <c r="E232" t="s">
        <v>33</v>
      </c>
      <c r="F232" t="s">
        <v>27</v>
      </c>
      <c r="G232" t="s">
        <v>28</v>
      </c>
      <c r="H232">
        <v>49086</v>
      </c>
      <c r="I232">
        <v>12</v>
      </c>
      <c r="J232">
        <v>6</v>
      </c>
      <c r="K232" t="s">
        <v>21</v>
      </c>
      <c r="L232" t="s">
        <v>30</v>
      </c>
      <c r="M232">
        <v>88</v>
      </c>
      <c r="N232" t="s">
        <v>29</v>
      </c>
      <c r="O232">
        <v>1</v>
      </c>
    </row>
    <row r="233" spans="1:15" x14ac:dyDescent="0.3">
      <c r="A233" t="s">
        <v>271</v>
      </c>
      <c r="B233">
        <v>39</v>
      </c>
      <c r="C233" t="s">
        <v>24</v>
      </c>
      <c r="D233" t="s">
        <v>17</v>
      </c>
      <c r="E233" t="s">
        <v>33</v>
      </c>
      <c r="F233" t="s">
        <v>27</v>
      </c>
      <c r="G233" t="s">
        <v>20</v>
      </c>
      <c r="H233">
        <v>50480</v>
      </c>
      <c r="I233">
        <v>11</v>
      </c>
      <c r="J233">
        <v>9</v>
      </c>
      <c r="K233" t="s">
        <v>21</v>
      </c>
      <c r="L233" t="s">
        <v>30</v>
      </c>
      <c r="M233">
        <v>32</v>
      </c>
      <c r="N233" t="s">
        <v>29</v>
      </c>
      <c r="O233">
        <v>3</v>
      </c>
    </row>
    <row r="234" spans="1:15" x14ac:dyDescent="0.3">
      <c r="A234" t="s">
        <v>272</v>
      </c>
      <c r="B234">
        <v>36</v>
      </c>
      <c r="C234" t="s">
        <v>16</v>
      </c>
      <c r="D234" t="s">
        <v>32</v>
      </c>
      <c r="E234" t="s">
        <v>50</v>
      </c>
      <c r="F234" t="s">
        <v>27</v>
      </c>
      <c r="G234" t="s">
        <v>28</v>
      </c>
      <c r="H234">
        <v>72091</v>
      </c>
      <c r="I234">
        <v>12</v>
      </c>
      <c r="J234">
        <v>0</v>
      </c>
      <c r="K234" t="s">
        <v>21</v>
      </c>
      <c r="L234" t="s">
        <v>30</v>
      </c>
      <c r="M234">
        <v>30</v>
      </c>
      <c r="N234" t="s">
        <v>21</v>
      </c>
      <c r="O234">
        <v>2</v>
      </c>
    </row>
    <row r="235" spans="1:15" x14ac:dyDescent="0.3">
      <c r="A235" t="s">
        <v>273</v>
      </c>
      <c r="B235">
        <v>23</v>
      </c>
      <c r="C235" t="s">
        <v>24</v>
      </c>
      <c r="D235" t="s">
        <v>44</v>
      </c>
      <c r="E235" t="s">
        <v>41</v>
      </c>
      <c r="F235" t="s">
        <v>36</v>
      </c>
      <c r="G235" t="s">
        <v>20</v>
      </c>
      <c r="H235">
        <v>67766</v>
      </c>
      <c r="I235">
        <v>9</v>
      </c>
      <c r="J235">
        <v>5</v>
      </c>
      <c r="K235" t="s">
        <v>21</v>
      </c>
      <c r="L235" t="s">
        <v>30</v>
      </c>
      <c r="M235">
        <v>86</v>
      </c>
      <c r="N235" t="s">
        <v>29</v>
      </c>
      <c r="O235">
        <v>5</v>
      </c>
    </row>
    <row r="236" spans="1:15" x14ac:dyDescent="0.3">
      <c r="A236" t="s">
        <v>274</v>
      </c>
      <c r="B236">
        <v>40</v>
      </c>
      <c r="C236" t="s">
        <v>16</v>
      </c>
      <c r="D236" t="s">
        <v>25</v>
      </c>
      <c r="E236" t="s">
        <v>33</v>
      </c>
      <c r="F236" t="s">
        <v>36</v>
      </c>
      <c r="G236" t="s">
        <v>28</v>
      </c>
      <c r="H236">
        <v>58737</v>
      </c>
      <c r="I236">
        <v>0</v>
      </c>
      <c r="J236">
        <v>6</v>
      </c>
      <c r="K236" t="s">
        <v>21</v>
      </c>
      <c r="L236" t="s">
        <v>22</v>
      </c>
      <c r="M236">
        <v>87</v>
      </c>
      <c r="N236" t="s">
        <v>21</v>
      </c>
      <c r="O236">
        <v>1</v>
      </c>
    </row>
    <row r="237" spans="1:15" x14ac:dyDescent="0.3">
      <c r="A237" t="s">
        <v>275</v>
      </c>
      <c r="B237">
        <v>44</v>
      </c>
      <c r="C237" t="s">
        <v>24</v>
      </c>
      <c r="D237" t="s">
        <v>32</v>
      </c>
      <c r="E237" t="s">
        <v>26</v>
      </c>
      <c r="F237" t="s">
        <v>38</v>
      </c>
      <c r="G237" t="s">
        <v>20</v>
      </c>
      <c r="H237">
        <v>29265</v>
      </c>
      <c r="I237">
        <v>7</v>
      </c>
      <c r="J237">
        <v>7</v>
      </c>
      <c r="K237" t="s">
        <v>29</v>
      </c>
      <c r="L237" t="s">
        <v>22</v>
      </c>
      <c r="M237">
        <v>7</v>
      </c>
      <c r="N237" t="s">
        <v>29</v>
      </c>
      <c r="O237">
        <v>2</v>
      </c>
    </row>
    <row r="238" spans="1:15" x14ac:dyDescent="0.3">
      <c r="A238" t="s">
        <v>276</v>
      </c>
      <c r="B238">
        <v>53</v>
      </c>
      <c r="C238" t="s">
        <v>24</v>
      </c>
      <c r="D238" t="s">
        <v>32</v>
      </c>
      <c r="E238" t="s">
        <v>26</v>
      </c>
      <c r="F238" t="s">
        <v>27</v>
      </c>
      <c r="G238" t="s">
        <v>20</v>
      </c>
      <c r="H238">
        <v>90990</v>
      </c>
      <c r="I238">
        <v>15</v>
      </c>
      <c r="J238">
        <v>6</v>
      </c>
      <c r="K238" t="s">
        <v>21</v>
      </c>
      <c r="L238" t="s">
        <v>30</v>
      </c>
      <c r="M238">
        <v>77</v>
      </c>
      <c r="N238" t="s">
        <v>29</v>
      </c>
      <c r="O238">
        <v>4</v>
      </c>
    </row>
    <row r="239" spans="1:15" x14ac:dyDescent="0.3">
      <c r="A239" t="s">
        <v>277</v>
      </c>
      <c r="B239">
        <v>44</v>
      </c>
      <c r="C239" t="s">
        <v>24</v>
      </c>
      <c r="D239" t="s">
        <v>25</v>
      </c>
      <c r="E239" t="s">
        <v>50</v>
      </c>
      <c r="F239" t="s">
        <v>38</v>
      </c>
      <c r="G239" t="s">
        <v>28</v>
      </c>
      <c r="H239">
        <v>111717</v>
      </c>
      <c r="I239">
        <v>12</v>
      </c>
      <c r="J239">
        <v>5</v>
      </c>
      <c r="K239" t="s">
        <v>21</v>
      </c>
      <c r="L239" t="s">
        <v>45</v>
      </c>
      <c r="M239">
        <v>99</v>
      </c>
      <c r="N239" t="s">
        <v>21</v>
      </c>
      <c r="O239">
        <v>3</v>
      </c>
    </row>
    <row r="240" spans="1:15" x14ac:dyDescent="0.3">
      <c r="A240" t="s">
        <v>278</v>
      </c>
      <c r="B240">
        <v>31</v>
      </c>
      <c r="C240" t="s">
        <v>24</v>
      </c>
      <c r="D240" t="s">
        <v>17</v>
      </c>
      <c r="E240" t="s">
        <v>50</v>
      </c>
      <c r="F240" t="s">
        <v>19</v>
      </c>
      <c r="G240" t="s">
        <v>20</v>
      </c>
      <c r="H240">
        <v>35386</v>
      </c>
      <c r="I240">
        <v>2</v>
      </c>
      <c r="J240">
        <v>8</v>
      </c>
      <c r="K240" t="s">
        <v>29</v>
      </c>
      <c r="L240" t="s">
        <v>22</v>
      </c>
      <c r="M240">
        <v>53</v>
      </c>
      <c r="N240" t="s">
        <v>21</v>
      </c>
      <c r="O240">
        <v>3</v>
      </c>
    </row>
    <row r="241" spans="1:15" x14ac:dyDescent="0.3">
      <c r="A241" t="s">
        <v>279</v>
      </c>
      <c r="B241">
        <v>28</v>
      </c>
      <c r="C241" t="s">
        <v>16</v>
      </c>
      <c r="D241" t="s">
        <v>17</v>
      </c>
      <c r="E241" t="s">
        <v>18</v>
      </c>
      <c r="F241" t="s">
        <v>19</v>
      </c>
      <c r="G241" t="s">
        <v>28</v>
      </c>
      <c r="H241">
        <v>57425</v>
      </c>
      <c r="I241">
        <v>2</v>
      </c>
      <c r="J241">
        <v>2</v>
      </c>
      <c r="K241" t="s">
        <v>29</v>
      </c>
      <c r="L241" t="s">
        <v>45</v>
      </c>
      <c r="M241">
        <v>21</v>
      </c>
      <c r="N241" t="s">
        <v>21</v>
      </c>
      <c r="O241">
        <v>5</v>
      </c>
    </row>
    <row r="242" spans="1:15" x14ac:dyDescent="0.3">
      <c r="A242" t="s">
        <v>280</v>
      </c>
      <c r="B242">
        <v>56</v>
      </c>
      <c r="C242" t="s">
        <v>16</v>
      </c>
      <c r="D242" t="s">
        <v>25</v>
      </c>
      <c r="E242" t="s">
        <v>18</v>
      </c>
      <c r="F242" t="s">
        <v>27</v>
      </c>
      <c r="G242" t="s">
        <v>28</v>
      </c>
      <c r="H242">
        <v>63254</v>
      </c>
      <c r="I242">
        <v>4</v>
      </c>
      <c r="J242">
        <v>5</v>
      </c>
      <c r="K242" t="s">
        <v>21</v>
      </c>
      <c r="L242" t="s">
        <v>45</v>
      </c>
      <c r="M242">
        <v>67</v>
      </c>
      <c r="N242" t="s">
        <v>29</v>
      </c>
      <c r="O242">
        <v>1</v>
      </c>
    </row>
    <row r="243" spans="1:15" x14ac:dyDescent="0.3">
      <c r="A243" t="s">
        <v>281</v>
      </c>
      <c r="B243">
        <v>58</v>
      </c>
      <c r="C243" t="s">
        <v>24</v>
      </c>
      <c r="D243" t="s">
        <v>40</v>
      </c>
      <c r="E243" t="s">
        <v>18</v>
      </c>
      <c r="F243" t="s">
        <v>27</v>
      </c>
      <c r="G243" t="s">
        <v>20</v>
      </c>
      <c r="H243">
        <v>109863</v>
      </c>
      <c r="I243">
        <v>10</v>
      </c>
      <c r="J243">
        <v>3</v>
      </c>
      <c r="K243" t="s">
        <v>21</v>
      </c>
      <c r="L243" t="s">
        <v>47</v>
      </c>
      <c r="M243">
        <v>59</v>
      </c>
      <c r="N243" t="s">
        <v>29</v>
      </c>
      <c r="O243">
        <v>4</v>
      </c>
    </row>
    <row r="244" spans="1:15" x14ac:dyDescent="0.3">
      <c r="A244" t="s">
        <v>282</v>
      </c>
      <c r="B244">
        <v>40</v>
      </c>
      <c r="C244" t="s">
        <v>16</v>
      </c>
      <c r="D244" t="s">
        <v>25</v>
      </c>
      <c r="E244" t="s">
        <v>50</v>
      </c>
      <c r="F244" t="s">
        <v>19</v>
      </c>
      <c r="G244" t="s">
        <v>28</v>
      </c>
      <c r="H244">
        <v>73634</v>
      </c>
      <c r="I244">
        <v>6</v>
      </c>
      <c r="J244">
        <v>1</v>
      </c>
      <c r="K244" t="s">
        <v>29</v>
      </c>
      <c r="L244" t="s">
        <v>47</v>
      </c>
      <c r="M244">
        <v>27</v>
      </c>
      <c r="N244" t="s">
        <v>21</v>
      </c>
      <c r="O244">
        <v>5</v>
      </c>
    </row>
    <row r="245" spans="1:15" x14ac:dyDescent="0.3">
      <c r="A245" t="s">
        <v>283</v>
      </c>
      <c r="B245">
        <v>55</v>
      </c>
      <c r="C245" t="s">
        <v>24</v>
      </c>
      <c r="D245" t="s">
        <v>25</v>
      </c>
      <c r="E245" t="s">
        <v>50</v>
      </c>
      <c r="F245" t="s">
        <v>27</v>
      </c>
      <c r="G245" t="s">
        <v>20</v>
      </c>
      <c r="H245">
        <v>106717</v>
      </c>
      <c r="I245">
        <v>9</v>
      </c>
      <c r="J245">
        <v>0</v>
      </c>
      <c r="K245" t="s">
        <v>21</v>
      </c>
      <c r="L245" t="s">
        <v>30</v>
      </c>
      <c r="M245">
        <v>38</v>
      </c>
      <c r="N245" t="s">
        <v>29</v>
      </c>
      <c r="O245">
        <v>5</v>
      </c>
    </row>
    <row r="246" spans="1:15" x14ac:dyDescent="0.3">
      <c r="A246" t="s">
        <v>284</v>
      </c>
      <c r="B246">
        <v>45</v>
      </c>
      <c r="C246" t="s">
        <v>24</v>
      </c>
      <c r="D246" t="s">
        <v>17</v>
      </c>
      <c r="E246" t="s">
        <v>50</v>
      </c>
      <c r="F246" t="s">
        <v>36</v>
      </c>
      <c r="G246" t="s">
        <v>20</v>
      </c>
      <c r="H246">
        <v>67662</v>
      </c>
      <c r="I246">
        <v>9</v>
      </c>
      <c r="J246">
        <v>0</v>
      </c>
      <c r="K246" t="s">
        <v>21</v>
      </c>
      <c r="L246" t="s">
        <v>45</v>
      </c>
      <c r="M246">
        <v>73</v>
      </c>
      <c r="N246" t="s">
        <v>21</v>
      </c>
      <c r="O246">
        <v>1</v>
      </c>
    </row>
    <row r="247" spans="1:15" x14ac:dyDescent="0.3">
      <c r="A247" t="s">
        <v>285</v>
      </c>
      <c r="B247">
        <v>55</v>
      </c>
      <c r="C247" t="s">
        <v>16</v>
      </c>
      <c r="D247" t="s">
        <v>17</v>
      </c>
      <c r="E247" t="s">
        <v>26</v>
      </c>
      <c r="F247" t="s">
        <v>36</v>
      </c>
      <c r="G247" t="s">
        <v>20</v>
      </c>
      <c r="H247">
        <v>106988</v>
      </c>
      <c r="I247">
        <v>19</v>
      </c>
      <c r="J247">
        <v>9</v>
      </c>
      <c r="K247" t="s">
        <v>21</v>
      </c>
      <c r="L247" t="s">
        <v>22</v>
      </c>
      <c r="M247">
        <v>19</v>
      </c>
      <c r="N247" t="s">
        <v>29</v>
      </c>
      <c r="O247">
        <v>4</v>
      </c>
    </row>
    <row r="248" spans="1:15" x14ac:dyDescent="0.3">
      <c r="A248" t="s">
        <v>286</v>
      </c>
      <c r="B248">
        <v>45</v>
      </c>
      <c r="C248" t="s">
        <v>24</v>
      </c>
      <c r="D248" t="s">
        <v>25</v>
      </c>
      <c r="E248" t="s">
        <v>50</v>
      </c>
      <c r="F248" t="s">
        <v>27</v>
      </c>
      <c r="G248" t="s">
        <v>20</v>
      </c>
      <c r="H248">
        <v>119287</v>
      </c>
      <c r="I248">
        <v>1</v>
      </c>
      <c r="J248">
        <v>2</v>
      </c>
      <c r="K248" t="s">
        <v>29</v>
      </c>
      <c r="L248" t="s">
        <v>47</v>
      </c>
      <c r="M248">
        <v>51</v>
      </c>
      <c r="N248" t="s">
        <v>21</v>
      </c>
      <c r="O248">
        <v>1</v>
      </c>
    </row>
    <row r="249" spans="1:15" x14ac:dyDescent="0.3">
      <c r="A249" t="s">
        <v>287</v>
      </c>
      <c r="B249">
        <v>49</v>
      </c>
      <c r="C249" t="s">
        <v>24</v>
      </c>
      <c r="D249" t="s">
        <v>25</v>
      </c>
      <c r="E249" t="s">
        <v>26</v>
      </c>
      <c r="F249" t="s">
        <v>19</v>
      </c>
      <c r="G249" t="s">
        <v>20</v>
      </c>
      <c r="H249">
        <v>107527</v>
      </c>
      <c r="I249">
        <v>2</v>
      </c>
      <c r="J249">
        <v>3</v>
      </c>
      <c r="K249" t="s">
        <v>21</v>
      </c>
      <c r="L249" t="s">
        <v>47</v>
      </c>
      <c r="M249">
        <v>7</v>
      </c>
      <c r="N249" t="s">
        <v>29</v>
      </c>
      <c r="O249">
        <v>3</v>
      </c>
    </row>
    <row r="250" spans="1:15" x14ac:dyDescent="0.3">
      <c r="A250" t="s">
        <v>288</v>
      </c>
      <c r="B250">
        <v>38</v>
      </c>
      <c r="C250" t="s">
        <v>16</v>
      </c>
      <c r="D250" t="s">
        <v>25</v>
      </c>
      <c r="E250" t="s">
        <v>18</v>
      </c>
      <c r="F250" t="s">
        <v>38</v>
      </c>
      <c r="G250" t="s">
        <v>20</v>
      </c>
      <c r="H250">
        <v>95452</v>
      </c>
      <c r="I250">
        <v>7</v>
      </c>
      <c r="J250">
        <v>1</v>
      </c>
      <c r="K250" t="s">
        <v>21</v>
      </c>
      <c r="L250" t="s">
        <v>45</v>
      </c>
      <c r="M250">
        <v>87</v>
      </c>
      <c r="N250" t="s">
        <v>29</v>
      </c>
      <c r="O250">
        <v>2</v>
      </c>
    </row>
    <row r="251" spans="1:15" x14ac:dyDescent="0.3">
      <c r="A251" t="s">
        <v>289</v>
      </c>
      <c r="B251">
        <v>38</v>
      </c>
      <c r="C251" t="s">
        <v>24</v>
      </c>
      <c r="D251" t="s">
        <v>17</v>
      </c>
      <c r="E251" t="s">
        <v>18</v>
      </c>
      <c r="F251" t="s">
        <v>27</v>
      </c>
      <c r="G251" t="s">
        <v>20</v>
      </c>
      <c r="H251">
        <v>30143</v>
      </c>
      <c r="I251">
        <v>10</v>
      </c>
      <c r="J251">
        <v>0</v>
      </c>
      <c r="K251" t="s">
        <v>29</v>
      </c>
      <c r="L251" t="s">
        <v>47</v>
      </c>
      <c r="M251">
        <v>32</v>
      </c>
      <c r="N251" t="s">
        <v>29</v>
      </c>
      <c r="O251">
        <v>3</v>
      </c>
    </row>
    <row r="252" spans="1:15" x14ac:dyDescent="0.3">
      <c r="A252" t="s">
        <v>290</v>
      </c>
      <c r="B252">
        <v>22</v>
      </c>
      <c r="C252" t="s">
        <v>24</v>
      </c>
      <c r="D252" t="s">
        <v>25</v>
      </c>
      <c r="E252" t="s">
        <v>18</v>
      </c>
      <c r="F252" t="s">
        <v>27</v>
      </c>
      <c r="G252" t="s">
        <v>20</v>
      </c>
      <c r="H252">
        <v>111391</v>
      </c>
      <c r="I252">
        <v>12</v>
      </c>
      <c r="J252">
        <v>3</v>
      </c>
      <c r="K252" t="s">
        <v>29</v>
      </c>
      <c r="L252" t="s">
        <v>47</v>
      </c>
      <c r="M252">
        <v>7</v>
      </c>
      <c r="N252" t="s">
        <v>29</v>
      </c>
      <c r="O252">
        <v>3</v>
      </c>
    </row>
    <row r="253" spans="1:15" x14ac:dyDescent="0.3">
      <c r="A253" t="s">
        <v>291</v>
      </c>
      <c r="B253">
        <v>55</v>
      </c>
      <c r="C253" t="s">
        <v>24</v>
      </c>
      <c r="D253" t="s">
        <v>25</v>
      </c>
      <c r="E253" t="s">
        <v>33</v>
      </c>
      <c r="F253" t="s">
        <v>38</v>
      </c>
      <c r="G253" t="s">
        <v>28</v>
      </c>
      <c r="H253">
        <v>35581</v>
      </c>
      <c r="I253">
        <v>6</v>
      </c>
      <c r="J253">
        <v>6</v>
      </c>
      <c r="K253" t="s">
        <v>29</v>
      </c>
      <c r="L253" t="s">
        <v>22</v>
      </c>
      <c r="M253">
        <v>8</v>
      </c>
      <c r="N253" t="s">
        <v>21</v>
      </c>
      <c r="O253">
        <v>5</v>
      </c>
    </row>
    <row r="254" spans="1:15" x14ac:dyDescent="0.3">
      <c r="A254" t="s">
        <v>292</v>
      </c>
      <c r="B254">
        <v>36</v>
      </c>
      <c r="C254" t="s">
        <v>24</v>
      </c>
      <c r="D254" t="s">
        <v>35</v>
      </c>
      <c r="E254" t="s">
        <v>33</v>
      </c>
      <c r="F254" t="s">
        <v>27</v>
      </c>
      <c r="G254" t="s">
        <v>28</v>
      </c>
      <c r="H254">
        <v>87443</v>
      </c>
      <c r="I254">
        <v>12</v>
      </c>
      <c r="J254">
        <v>9</v>
      </c>
      <c r="K254" t="s">
        <v>21</v>
      </c>
      <c r="L254" t="s">
        <v>45</v>
      </c>
      <c r="M254">
        <v>92</v>
      </c>
      <c r="N254" t="s">
        <v>29</v>
      </c>
      <c r="O254">
        <v>3</v>
      </c>
    </row>
    <row r="255" spans="1:15" x14ac:dyDescent="0.3">
      <c r="A255" t="s">
        <v>293</v>
      </c>
      <c r="B255">
        <v>56</v>
      </c>
      <c r="C255" t="s">
        <v>16</v>
      </c>
      <c r="D255" t="s">
        <v>40</v>
      </c>
      <c r="E255" t="s">
        <v>41</v>
      </c>
      <c r="F255" t="s">
        <v>38</v>
      </c>
      <c r="G255" t="s">
        <v>20</v>
      </c>
      <c r="H255">
        <v>49424</v>
      </c>
      <c r="I255">
        <v>1</v>
      </c>
      <c r="J255">
        <v>5</v>
      </c>
      <c r="K255" t="s">
        <v>29</v>
      </c>
      <c r="L255" t="s">
        <v>47</v>
      </c>
      <c r="M255">
        <v>35</v>
      </c>
      <c r="N255" t="s">
        <v>21</v>
      </c>
      <c r="O255">
        <v>4</v>
      </c>
    </row>
    <row r="256" spans="1:15" x14ac:dyDescent="0.3">
      <c r="A256" t="s">
        <v>294</v>
      </c>
      <c r="B256">
        <v>53</v>
      </c>
      <c r="C256" t="s">
        <v>16</v>
      </c>
      <c r="D256" t="s">
        <v>44</v>
      </c>
      <c r="E256" t="s">
        <v>41</v>
      </c>
      <c r="F256" t="s">
        <v>19</v>
      </c>
      <c r="G256" t="s">
        <v>28</v>
      </c>
      <c r="H256">
        <v>108844</v>
      </c>
      <c r="I256">
        <v>5</v>
      </c>
      <c r="J256">
        <v>5</v>
      </c>
      <c r="K256" t="s">
        <v>21</v>
      </c>
      <c r="L256" t="s">
        <v>45</v>
      </c>
      <c r="M256">
        <v>49</v>
      </c>
      <c r="N256" t="s">
        <v>21</v>
      </c>
      <c r="O256">
        <v>3</v>
      </c>
    </row>
    <row r="257" spans="1:15" x14ac:dyDescent="0.3">
      <c r="A257" t="s">
        <v>295</v>
      </c>
      <c r="B257">
        <v>24</v>
      </c>
      <c r="C257" t="s">
        <v>16</v>
      </c>
      <c r="D257" t="s">
        <v>40</v>
      </c>
      <c r="E257" t="s">
        <v>41</v>
      </c>
      <c r="F257" t="s">
        <v>36</v>
      </c>
      <c r="G257" t="s">
        <v>28</v>
      </c>
      <c r="H257">
        <v>61984</v>
      </c>
      <c r="I257">
        <v>8</v>
      </c>
      <c r="J257">
        <v>8</v>
      </c>
      <c r="K257" t="s">
        <v>29</v>
      </c>
      <c r="L257" t="s">
        <v>47</v>
      </c>
      <c r="M257">
        <v>63</v>
      </c>
      <c r="N257" t="s">
        <v>21</v>
      </c>
      <c r="O257">
        <v>4</v>
      </c>
    </row>
    <row r="258" spans="1:15" x14ac:dyDescent="0.3">
      <c r="A258" t="s">
        <v>296</v>
      </c>
      <c r="B258">
        <v>53</v>
      </c>
      <c r="C258" t="s">
        <v>24</v>
      </c>
      <c r="D258" t="s">
        <v>35</v>
      </c>
      <c r="E258" t="s">
        <v>33</v>
      </c>
      <c r="F258" t="s">
        <v>19</v>
      </c>
      <c r="G258" t="s">
        <v>28</v>
      </c>
      <c r="H258">
        <v>61505</v>
      </c>
      <c r="I258">
        <v>19</v>
      </c>
      <c r="J258">
        <v>1</v>
      </c>
      <c r="K258" t="s">
        <v>21</v>
      </c>
      <c r="L258" t="s">
        <v>22</v>
      </c>
      <c r="M258">
        <v>49</v>
      </c>
      <c r="N258" t="s">
        <v>21</v>
      </c>
      <c r="O258">
        <v>1</v>
      </c>
    </row>
    <row r="259" spans="1:15" x14ac:dyDescent="0.3">
      <c r="A259" t="s">
        <v>297</v>
      </c>
      <c r="B259">
        <v>34</v>
      </c>
      <c r="C259" t="s">
        <v>24</v>
      </c>
      <c r="D259" t="s">
        <v>44</v>
      </c>
      <c r="E259" t="s">
        <v>33</v>
      </c>
      <c r="F259" t="s">
        <v>36</v>
      </c>
      <c r="G259" t="s">
        <v>28</v>
      </c>
      <c r="H259">
        <v>82699</v>
      </c>
      <c r="I259">
        <v>1</v>
      </c>
      <c r="J259">
        <v>3</v>
      </c>
      <c r="K259" t="s">
        <v>29</v>
      </c>
      <c r="L259" t="s">
        <v>45</v>
      </c>
      <c r="M259">
        <v>79</v>
      </c>
      <c r="N259" t="s">
        <v>29</v>
      </c>
      <c r="O259">
        <v>5</v>
      </c>
    </row>
    <row r="260" spans="1:15" x14ac:dyDescent="0.3">
      <c r="A260" t="s">
        <v>298</v>
      </c>
      <c r="B260">
        <v>41</v>
      </c>
      <c r="C260" t="s">
        <v>16</v>
      </c>
      <c r="D260" t="s">
        <v>25</v>
      </c>
      <c r="E260" t="s">
        <v>41</v>
      </c>
      <c r="F260" t="s">
        <v>38</v>
      </c>
      <c r="G260" t="s">
        <v>28</v>
      </c>
      <c r="H260">
        <v>46957</v>
      </c>
      <c r="I260">
        <v>17</v>
      </c>
      <c r="J260">
        <v>4</v>
      </c>
      <c r="K260" t="s">
        <v>21</v>
      </c>
      <c r="L260" t="s">
        <v>47</v>
      </c>
      <c r="M260">
        <v>41</v>
      </c>
      <c r="N260" t="s">
        <v>21</v>
      </c>
      <c r="O260">
        <v>4</v>
      </c>
    </row>
    <row r="261" spans="1:15" x14ac:dyDescent="0.3">
      <c r="A261" t="s">
        <v>299</v>
      </c>
      <c r="B261">
        <v>40</v>
      </c>
      <c r="C261" t="s">
        <v>24</v>
      </c>
      <c r="D261" t="s">
        <v>35</v>
      </c>
      <c r="E261" t="s">
        <v>41</v>
      </c>
      <c r="F261" t="s">
        <v>36</v>
      </c>
      <c r="G261" t="s">
        <v>28</v>
      </c>
      <c r="H261">
        <v>45464</v>
      </c>
      <c r="I261">
        <v>15</v>
      </c>
      <c r="J261">
        <v>0</v>
      </c>
      <c r="K261" t="s">
        <v>21</v>
      </c>
      <c r="L261" t="s">
        <v>22</v>
      </c>
      <c r="M261">
        <v>69</v>
      </c>
      <c r="N261" t="s">
        <v>29</v>
      </c>
      <c r="O261">
        <v>3</v>
      </c>
    </row>
    <row r="262" spans="1:15" x14ac:dyDescent="0.3">
      <c r="A262" t="s">
        <v>300</v>
      </c>
      <c r="B262">
        <v>28</v>
      </c>
      <c r="C262" t="s">
        <v>24</v>
      </c>
      <c r="D262" t="s">
        <v>25</v>
      </c>
      <c r="E262" t="s">
        <v>50</v>
      </c>
      <c r="F262" t="s">
        <v>19</v>
      </c>
      <c r="G262" t="s">
        <v>20</v>
      </c>
      <c r="H262">
        <v>43649</v>
      </c>
      <c r="I262">
        <v>11</v>
      </c>
      <c r="J262">
        <v>7</v>
      </c>
      <c r="K262" t="s">
        <v>29</v>
      </c>
      <c r="L262" t="s">
        <v>47</v>
      </c>
      <c r="M262">
        <v>13</v>
      </c>
      <c r="N262" t="s">
        <v>29</v>
      </c>
      <c r="O262">
        <v>5</v>
      </c>
    </row>
    <row r="263" spans="1:15" x14ac:dyDescent="0.3">
      <c r="A263" t="s">
        <v>301</v>
      </c>
      <c r="B263">
        <v>27</v>
      </c>
      <c r="C263" t="s">
        <v>24</v>
      </c>
      <c r="D263" t="s">
        <v>17</v>
      </c>
      <c r="E263" t="s">
        <v>41</v>
      </c>
      <c r="F263" t="s">
        <v>36</v>
      </c>
      <c r="G263" t="s">
        <v>28</v>
      </c>
      <c r="H263">
        <v>62065</v>
      </c>
      <c r="I263">
        <v>6</v>
      </c>
      <c r="J263">
        <v>7</v>
      </c>
      <c r="K263" t="s">
        <v>29</v>
      </c>
      <c r="L263" t="s">
        <v>45</v>
      </c>
      <c r="M263">
        <v>21</v>
      </c>
      <c r="N263" t="s">
        <v>29</v>
      </c>
      <c r="O263">
        <v>5</v>
      </c>
    </row>
    <row r="264" spans="1:15" x14ac:dyDescent="0.3">
      <c r="A264" t="s">
        <v>302</v>
      </c>
      <c r="B264">
        <v>23</v>
      </c>
      <c r="C264" t="s">
        <v>24</v>
      </c>
      <c r="D264" t="s">
        <v>32</v>
      </c>
      <c r="E264" t="s">
        <v>50</v>
      </c>
      <c r="F264" t="s">
        <v>38</v>
      </c>
      <c r="G264" t="s">
        <v>28</v>
      </c>
      <c r="H264">
        <v>112661</v>
      </c>
      <c r="I264">
        <v>6</v>
      </c>
      <c r="J264">
        <v>5</v>
      </c>
      <c r="K264" t="s">
        <v>21</v>
      </c>
      <c r="L264" t="s">
        <v>47</v>
      </c>
      <c r="M264">
        <v>69</v>
      </c>
      <c r="N264" t="s">
        <v>29</v>
      </c>
      <c r="O264">
        <v>4</v>
      </c>
    </row>
    <row r="265" spans="1:15" x14ac:dyDescent="0.3">
      <c r="A265" t="s">
        <v>303</v>
      </c>
      <c r="B265">
        <v>37</v>
      </c>
      <c r="C265" t="s">
        <v>16</v>
      </c>
      <c r="D265" t="s">
        <v>35</v>
      </c>
      <c r="E265" t="s">
        <v>26</v>
      </c>
      <c r="F265" t="s">
        <v>36</v>
      </c>
      <c r="G265" t="s">
        <v>28</v>
      </c>
      <c r="H265">
        <v>54758</v>
      </c>
      <c r="I265">
        <v>16</v>
      </c>
      <c r="J265">
        <v>4</v>
      </c>
      <c r="K265" t="s">
        <v>29</v>
      </c>
      <c r="L265" t="s">
        <v>45</v>
      </c>
      <c r="M265">
        <v>7</v>
      </c>
      <c r="N265" t="s">
        <v>21</v>
      </c>
      <c r="O265">
        <v>4</v>
      </c>
    </row>
    <row r="266" spans="1:15" x14ac:dyDescent="0.3">
      <c r="A266" t="s">
        <v>304</v>
      </c>
      <c r="B266">
        <v>53</v>
      </c>
      <c r="C266" t="s">
        <v>16</v>
      </c>
      <c r="D266" t="s">
        <v>17</v>
      </c>
      <c r="E266" t="s">
        <v>33</v>
      </c>
      <c r="F266" t="s">
        <v>27</v>
      </c>
      <c r="G266" t="s">
        <v>28</v>
      </c>
      <c r="H266">
        <v>25596</v>
      </c>
      <c r="I266">
        <v>12</v>
      </c>
      <c r="J266">
        <v>7</v>
      </c>
      <c r="K266" t="s">
        <v>21</v>
      </c>
      <c r="L266" t="s">
        <v>45</v>
      </c>
      <c r="M266">
        <v>30</v>
      </c>
      <c r="N266" t="s">
        <v>29</v>
      </c>
      <c r="O266">
        <v>2</v>
      </c>
    </row>
    <row r="267" spans="1:15" x14ac:dyDescent="0.3">
      <c r="A267" t="s">
        <v>305</v>
      </c>
      <c r="B267">
        <v>32</v>
      </c>
      <c r="C267" t="s">
        <v>16</v>
      </c>
      <c r="D267" t="s">
        <v>35</v>
      </c>
      <c r="E267" t="s">
        <v>41</v>
      </c>
      <c r="F267" t="s">
        <v>19</v>
      </c>
      <c r="G267" t="s">
        <v>20</v>
      </c>
      <c r="H267">
        <v>36374</v>
      </c>
      <c r="I267">
        <v>10</v>
      </c>
      <c r="J267">
        <v>2</v>
      </c>
      <c r="K267" t="s">
        <v>29</v>
      </c>
      <c r="L267" t="s">
        <v>47</v>
      </c>
      <c r="M267">
        <v>57</v>
      </c>
      <c r="N267" t="s">
        <v>21</v>
      </c>
      <c r="O267">
        <v>2</v>
      </c>
    </row>
    <row r="268" spans="1:15" x14ac:dyDescent="0.3">
      <c r="A268" t="s">
        <v>306</v>
      </c>
      <c r="B268">
        <v>42</v>
      </c>
      <c r="C268" t="s">
        <v>24</v>
      </c>
      <c r="D268" t="s">
        <v>35</v>
      </c>
      <c r="E268" t="s">
        <v>33</v>
      </c>
      <c r="F268" t="s">
        <v>27</v>
      </c>
      <c r="G268" t="s">
        <v>20</v>
      </c>
      <c r="H268">
        <v>23775</v>
      </c>
      <c r="I268">
        <v>5</v>
      </c>
      <c r="J268">
        <v>2</v>
      </c>
      <c r="K268" t="s">
        <v>29</v>
      </c>
      <c r="L268" t="s">
        <v>22</v>
      </c>
      <c r="M268">
        <v>35</v>
      </c>
      <c r="N268" t="s">
        <v>29</v>
      </c>
      <c r="O268">
        <v>5</v>
      </c>
    </row>
    <row r="269" spans="1:15" x14ac:dyDescent="0.3">
      <c r="A269" t="s">
        <v>307</v>
      </c>
      <c r="B269">
        <v>42</v>
      </c>
      <c r="C269" t="s">
        <v>16</v>
      </c>
      <c r="D269" t="s">
        <v>17</v>
      </c>
      <c r="E269" t="s">
        <v>33</v>
      </c>
      <c r="F269" t="s">
        <v>38</v>
      </c>
      <c r="G269" t="s">
        <v>20</v>
      </c>
      <c r="H269">
        <v>47388</v>
      </c>
      <c r="I269">
        <v>13</v>
      </c>
      <c r="J269">
        <v>1</v>
      </c>
      <c r="K269" t="s">
        <v>21</v>
      </c>
      <c r="L269" t="s">
        <v>30</v>
      </c>
      <c r="M269">
        <v>30</v>
      </c>
      <c r="N269" t="s">
        <v>29</v>
      </c>
      <c r="O269">
        <v>2</v>
      </c>
    </row>
    <row r="270" spans="1:15" x14ac:dyDescent="0.3">
      <c r="A270" t="s">
        <v>308</v>
      </c>
      <c r="B270">
        <v>50</v>
      </c>
      <c r="C270" t="s">
        <v>16</v>
      </c>
      <c r="D270" t="s">
        <v>44</v>
      </c>
      <c r="E270" t="s">
        <v>33</v>
      </c>
      <c r="F270" t="s">
        <v>36</v>
      </c>
      <c r="G270" t="s">
        <v>20</v>
      </c>
      <c r="H270">
        <v>41029</v>
      </c>
      <c r="I270">
        <v>5</v>
      </c>
      <c r="J270">
        <v>4</v>
      </c>
      <c r="K270" t="s">
        <v>29</v>
      </c>
      <c r="L270" t="s">
        <v>22</v>
      </c>
      <c r="M270">
        <v>27</v>
      </c>
      <c r="N270" t="s">
        <v>21</v>
      </c>
      <c r="O270">
        <v>3</v>
      </c>
    </row>
    <row r="271" spans="1:15" x14ac:dyDescent="0.3">
      <c r="A271" t="s">
        <v>309</v>
      </c>
      <c r="B271">
        <v>58</v>
      </c>
      <c r="C271" t="s">
        <v>24</v>
      </c>
      <c r="D271" t="s">
        <v>40</v>
      </c>
      <c r="E271" t="s">
        <v>26</v>
      </c>
      <c r="F271" t="s">
        <v>27</v>
      </c>
      <c r="G271" t="s">
        <v>28</v>
      </c>
      <c r="H271">
        <v>103981</v>
      </c>
      <c r="I271">
        <v>5</v>
      </c>
      <c r="J271">
        <v>2</v>
      </c>
      <c r="K271" t="s">
        <v>29</v>
      </c>
      <c r="L271" t="s">
        <v>22</v>
      </c>
      <c r="M271">
        <v>34</v>
      </c>
      <c r="N271" t="s">
        <v>29</v>
      </c>
      <c r="O271">
        <v>1</v>
      </c>
    </row>
    <row r="272" spans="1:15" x14ac:dyDescent="0.3">
      <c r="A272" t="s">
        <v>310</v>
      </c>
      <c r="B272">
        <v>58</v>
      </c>
      <c r="C272" t="s">
        <v>24</v>
      </c>
      <c r="D272" t="s">
        <v>25</v>
      </c>
      <c r="E272" t="s">
        <v>18</v>
      </c>
      <c r="F272" t="s">
        <v>27</v>
      </c>
      <c r="G272" t="s">
        <v>20</v>
      </c>
      <c r="H272">
        <v>73639</v>
      </c>
      <c r="I272">
        <v>1</v>
      </c>
      <c r="J272">
        <v>2</v>
      </c>
      <c r="K272" t="s">
        <v>21</v>
      </c>
      <c r="L272" t="s">
        <v>47</v>
      </c>
      <c r="M272">
        <v>14</v>
      </c>
      <c r="N272" t="s">
        <v>29</v>
      </c>
      <c r="O272">
        <v>5</v>
      </c>
    </row>
    <row r="273" spans="1:15" x14ac:dyDescent="0.3">
      <c r="A273" t="s">
        <v>311</v>
      </c>
      <c r="B273">
        <v>28</v>
      </c>
      <c r="C273" t="s">
        <v>16</v>
      </c>
      <c r="D273" t="s">
        <v>35</v>
      </c>
      <c r="E273" t="s">
        <v>41</v>
      </c>
      <c r="F273" t="s">
        <v>36</v>
      </c>
      <c r="G273" t="s">
        <v>20</v>
      </c>
      <c r="H273">
        <v>34645</v>
      </c>
      <c r="I273">
        <v>19</v>
      </c>
      <c r="J273">
        <v>5</v>
      </c>
      <c r="K273" t="s">
        <v>21</v>
      </c>
      <c r="L273" t="s">
        <v>22</v>
      </c>
      <c r="M273">
        <v>76</v>
      </c>
      <c r="N273" t="s">
        <v>29</v>
      </c>
      <c r="O273">
        <v>1</v>
      </c>
    </row>
    <row r="274" spans="1:15" x14ac:dyDescent="0.3">
      <c r="A274" t="s">
        <v>312</v>
      </c>
      <c r="B274">
        <v>47</v>
      </c>
      <c r="C274" t="s">
        <v>16</v>
      </c>
      <c r="D274" t="s">
        <v>25</v>
      </c>
      <c r="E274" t="s">
        <v>18</v>
      </c>
      <c r="F274" t="s">
        <v>36</v>
      </c>
      <c r="G274" t="s">
        <v>20</v>
      </c>
      <c r="H274">
        <v>51105</v>
      </c>
      <c r="I274">
        <v>14</v>
      </c>
      <c r="J274">
        <v>7</v>
      </c>
      <c r="K274" t="s">
        <v>29</v>
      </c>
      <c r="L274" t="s">
        <v>22</v>
      </c>
      <c r="M274">
        <v>93</v>
      </c>
      <c r="N274" t="s">
        <v>29</v>
      </c>
      <c r="O274">
        <v>2</v>
      </c>
    </row>
    <row r="275" spans="1:15" x14ac:dyDescent="0.3">
      <c r="A275" t="s">
        <v>313</v>
      </c>
      <c r="B275">
        <v>47</v>
      </c>
      <c r="C275" t="s">
        <v>16</v>
      </c>
      <c r="D275" t="s">
        <v>32</v>
      </c>
      <c r="E275" t="s">
        <v>18</v>
      </c>
      <c r="F275" t="s">
        <v>19</v>
      </c>
      <c r="G275" t="s">
        <v>20</v>
      </c>
      <c r="H275">
        <v>33668</v>
      </c>
      <c r="I275">
        <v>16</v>
      </c>
      <c r="J275">
        <v>1</v>
      </c>
      <c r="K275" t="s">
        <v>21</v>
      </c>
      <c r="L275" t="s">
        <v>30</v>
      </c>
      <c r="M275">
        <v>68</v>
      </c>
      <c r="N275" t="s">
        <v>29</v>
      </c>
      <c r="O275">
        <v>4</v>
      </c>
    </row>
    <row r="276" spans="1:15" x14ac:dyDescent="0.3">
      <c r="A276" t="s">
        <v>314</v>
      </c>
      <c r="B276">
        <v>54</v>
      </c>
      <c r="C276" t="s">
        <v>16</v>
      </c>
      <c r="D276" t="s">
        <v>17</v>
      </c>
      <c r="E276" t="s">
        <v>18</v>
      </c>
      <c r="F276" t="s">
        <v>27</v>
      </c>
      <c r="G276" t="s">
        <v>28</v>
      </c>
      <c r="H276">
        <v>35960</v>
      </c>
      <c r="I276">
        <v>7</v>
      </c>
      <c r="J276">
        <v>3</v>
      </c>
      <c r="K276" t="s">
        <v>29</v>
      </c>
      <c r="L276" t="s">
        <v>22</v>
      </c>
      <c r="M276">
        <v>26</v>
      </c>
      <c r="N276" t="s">
        <v>21</v>
      </c>
      <c r="O276">
        <v>5</v>
      </c>
    </row>
    <row r="277" spans="1:15" x14ac:dyDescent="0.3">
      <c r="A277" t="s">
        <v>315</v>
      </c>
      <c r="B277">
        <v>41</v>
      </c>
      <c r="C277" t="s">
        <v>24</v>
      </c>
      <c r="D277" t="s">
        <v>25</v>
      </c>
      <c r="E277" t="s">
        <v>33</v>
      </c>
      <c r="F277" t="s">
        <v>27</v>
      </c>
      <c r="G277" t="s">
        <v>20</v>
      </c>
      <c r="H277">
        <v>31357</v>
      </c>
      <c r="I277">
        <v>4</v>
      </c>
      <c r="J277">
        <v>6</v>
      </c>
      <c r="K277" t="s">
        <v>29</v>
      </c>
      <c r="L277" t="s">
        <v>30</v>
      </c>
      <c r="M277">
        <v>19</v>
      </c>
      <c r="N277" t="s">
        <v>29</v>
      </c>
      <c r="O277">
        <v>2</v>
      </c>
    </row>
    <row r="278" spans="1:15" x14ac:dyDescent="0.3">
      <c r="A278" t="s">
        <v>316</v>
      </c>
      <c r="B278">
        <v>50</v>
      </c>
      <c r="C278" t="s">
        <v>16</v>
      </c>
      <c r="D278" t="s">
        <v>17</v>
      </c>
      <c r="E278" t="s">
        <v>50</v>
      </c>
      <c r="F278" t="s">
        <v>38</v>
      </c>
      <c r="G278" t="s">
        <v>28</v>
      </c>
      <c r="H278">
        <v>84604</v>
      </c>
      <c r="I278">
        <v>16</v>
      </c>
      <c r="J278">
        <v>0</v>
      </c>
      <c r="K278" t="s">
        <v>21</v>
      </c>
      <c r="L278" t="s">
        <v>47</v>
      </c>
      <c r="M278">
        <v>60</v>
      </c>
      <c r="N278" t="s">
        <v>29</v>
      </c>
      <c r="O278">
        <v>3</v>
      </c>
    </row>
    <row r="279" spans="1:15" x14ac:dyDescent="0.3">
      <c r="A279" t="s">
        <v>317</v>
      </c>
      <c r="B279">
        <v>53</v>
      </c>
      <c r="C279" t="s">
        <v>16</v>
      </c>
      <c r="D279" t="s">
        <v>25</v>
      </c>
      <c r="E279" t="s">
        <v>33</v>
      </c>
      <c r="F279" t="s">
        <v>19</v>
      </c>
      <c r="G279" t="s">
        <v>20</v>
      </c>
      <c r="H279">
        <v>71796</v>
      </c>
      <c r="I279">
        <v>19</v>
      </c>
      <c r="J279">
        <v>0</v>
      </c>
      <c r="K279" t="s">
        <v>21</v>
      </c>
      <c r="L279" t="s">
        <v>30</v>
      </c>
      <c r="M279">
        <v>78</v>
      </c>
      <c r="N279" t="s">
        <v>21</v>
      </c>
      <c r="O279">
        <v>5</v>
      </c>
    </row>
    <row r="280" spans="1:15" x14ac:dyDescent="0.3">
      <c r="A280" t="s">
        <v>318</v>
      </c>
      <c r="B280">
        <v>48</v>
      </c>
      <c r="C280" t="s">
        <v>24</v>
      </c>
      <c r="D280" t="s">
        <v>40</v>
      </c>
      <c r="E280" t="s">
        <v>33</v>
      </c>
      <c r="F280" t="s">
        <v>38</v>
      </c>
      <c r="G280" t="s">
        <v>28</v>
      </c>
      <c r="H280">
        <v>35804</v>
      </c>
      <c r="I280">
        <v>0</v>
      </c>
      <c r="J280">
        <v>9</v>
      </c>
      <c r="K280" t="s">
        <v>21</v>
      </c>
      <c r="L280" t="s">
        <v>45</v>
      </c>
      <c r="M280">
        <v>24</v>
      </c>
      <c r="N280" t="s">
        <v>29</v>
      </c>
      <c r="O280">
        <v>5</v>
      </c>
    </row>
    <row r="281" spans="1:15" x14ac:dyDescent="0.3">
      <c r="A281" t="s">
        <v>319</v>
      </c>
      <c r="B281">
        <v>53</v>
      </c>
      <c r="C281" t="s">
        <v>16</v>
      </c>
      <c r="D281" t="s">
        <v>40</v>
      </c>
      <c r="E281" t="s">
        <v>18</v>
      </c>
      <c r="F281" t="s">
        <v>27</v>
      </c>
      <c r="G281" t="s">
        <v>28</v>
      </c>
      <c r="H281">
        <v>34626</v>
      </c>
      <c r="I281">
        <v>17</v>
      </c>
      <c r="J281">
        <v>6</v>
      </c>
      <c r="K281" t="s">
        <v>21</v>
      </c>
      <c r="L281" t="s">
        <v>45</v>
      </c>
      <c r="M281">
        <v>51</v>
      </c>
      <c r="N281" t="s">
        <v>21</v>
      </c>
      <c r="O281">
        <v>4</v>
      </c>
    </row>
    <row r="282" spans="1:15" x14ac:dyDescent="0.3">
      <c r="A282" t="s">
        <v>320</v>
      </c>
      <c r="B282">
        <v>25</v>
      </c>
      <c r="C282" t="s">
        <v>24</v>
      </c>
      <c r="D282" t="s">
        <v>40</v>
      </c>
      <c r="E282" t="s">
        <v>33</v>
      </c>
      <c r="F282" t="s">
        <v>38</v>
      </c>
      <c r="G282" t="s">
        <v>20</v>
      </c>
      <c r="H282">
        <v>48132</v>
      </c>
      <c r="I282">
        <v>14</v>
      </c>
      <c r="J282">
        <v>6</v>
      </c>
      <c r="K282" t="s">
        <v>21</v>
      </c>
      <c r="L282" t="s">
        <v>30</v>
      </c>
      <c r="M282">
        <v>91</v>
      </c>
      <c r="N282" t="s">
        <v>29</v>
      </c>
      <c r="O282">
        <v>5</v>
      </c>
    </row>
    <row r="283" spans="1:15" x14ac:dyDescent="0.3">
      <c r="A283" t="s">
        <v>321</v>
      </c>
      <c r="B283">
        <v>39</v>
      </c>
      <c r="C283" t="s">
        <v>24</v>
      </c>
      <c r="D283" t="s">
        <v>40</v>
      </c>
      <c r="E283" t="s">
        <v>18</v>
      </c>
      <c r="F283" t="s">
        <v>27</v>
      </c>
      <c r="G283" t="s">
        <v>20</v>
      </c>
      <c r="H283">
        <v>27951</v>
      </c>
      <c r="I283">
        <v>4</v>
      </c>
      <c r="J283">
        <v>0</v>
      </c>
      <c r="K283" t="s">
        <v>21</v>
      </c>
      <c r="L283" t="s">
        <v>45</v>
      </c>
      <c r="M283">
        <v>57</v>
      </c>
      <c r="N283" t="s">
        <v>29</v>
      </c>
      <c r="O283">
        <v>4</v>
      </c>
    </row>
    <row r="284" spans="1:15" x14ac:dyDescent="0.3">
      <c r="A284" t="s">
        <v>322</v>
      </c>
      <c r="B284">
        <v>24</v>
      </c>
      <c r="C284" t="s">
        <v>24</v>
      </c>
      <c r="D284" t="s">
        <v>40</v>
      </c>
      <c r="E284" t="s">
        <v>50</v>
      </c>
      <c r="F284" t="s">
        <v>27</v>
      </c>
      <c r="G284" t="s">
        <v>20</v>
      </c>
      <c r="H284">
        <v>26449</v>
      </c>
      <c r="I284">
        <v>6</v>
      </c>
      <c r="J284">
        <v>0</v>
      </c>
      <c r="K284" t="s">
        <v>29</v>
      </c>
      <c r="L284" t="s">
        <v>47</v>
      </c>
      <c r="M284">
        <v>57</v>
      </c>
      <c r="N284" t="s">
        <v>21</v>
      </c>
      <c r="O284">
        <v>2</v>
      </c>
    </row>
    <row r="285" spans="1:15" x14ac:dyDescent="0.3">
      <c r="A285" t="s">
        <v>323</v>
      </c>
      <c r="B285">
        <v>55</v>
      </c>
      <c r="C285" t="s">
        <v>16</v>
      </c>
      <c r="D285" t="s">
        <v>40</v>
      </c>
      <c r="E285" t="s">
        <v>41</v>
      </c>
      <c r="F285" t="s">
        <v>38</v>
      </c>
      <c r="G285" t="s">
        <v>20</v>
      </c>
      <c r="H285">
        <v>39065</v>
      </c>
      <c r="I285">
        <v>17</v>
      </c>
      <c r="J285">
        <v>3</v>
      </c>
      <c r="K285" t="s">
        <v>29</v>
      </c>
      <c r="L285" t="s">
        <v>45</v>
      </c>
      <c r="M285">
        <v>5</v>
      </c>
      <c r="N285" t="s">
        <v>29</v>
      </c>
      <c r="O285">
        <v>3</v>
      </c>
    </row>
    <row r="286" spans="1:15" x14ac:dyDescent="0.3">
      <c r="A286" t="s">
        <v>324</v>
      </c>
      <c r="B286">
        <v>37</v>
      </c>
      <c r="C286" t="s">
        <v>16</v>
      </c>
      <c r="D286" t="s">
        <v>17</v>
      </c>
      <c r="E286" t="s">
        <v>18</v>
      </c>
      <c r="F286" t="s">
        <v>38</v>
      </c>
      <c r="G286" t="s">
        <v>28</v>
      </c>
      <c r="H286">
        <v>29130</v>
      </c>
      <c r="I286">
        <v>5</v>
      </c>
      <c r="J286">
        <v>4</v>
      </c>
      <c r="K286" t="s">
        <v>21</v>
      </c>
      <c r="L286" t="s">
        <v>30</v>
      </c>
      <c r="M286">
        <v>6</v>
      </c>
      <c r="N286" t="s">
        <v>29</v>
      </c>
      <c r="O286">
        <v>3</v>
      </c>
    </row>
    <row r="287" spans="1:15" x14ac:dyDescent="0.3">
      <c r="A287" t="s">
        <v>325</v>
      </c>
      <c r="B287">
        <v>48</v>
      </c>
      <c r="C287" t="s">
        <v>24</v>
      </c>
      <c r="D287" t="s">
        <v>35</v>
      </c>
      <c r="E287" t="s">
        <v>50</v>
      </c>
      <c r="F287" t="s">
        <v>36</v>
      </c>
      <c r="G287" t="s">
        <v>28</v>
      </c>
      <c r="H287">
        <v>109360</v>
      </c>
      <c r="I287">
        <v>4</v>
      </c>
      <c r="J287">
        <v>4</v>
      </c>
      <c r="K287" t="s">
        <v>29</v>
      </c>
      <c r="L287" t="s">
        <v>47</v>
      </c>
      <c r="M287">
        <v>62</v>
      </c>
      <c r="N287" t="s">
        <v>21</v>
      </c>
      <c r="O287">
        <v>5</v>
      </c>
    </row>
    <row r="288" spans="1:15" x14ac:dyDescent="0.3">
      <c r="A288" t="s">
        <v>326</v>
      </c>
      <c r="B288">
        <v>50</v>
      </c>
      <c r="C288" t="s">
        <v>16</v>
      </c>
      <c r="D288" t="s">
        <v>25</v>
      </c>
      <c r="E288" t="s">
        <v>41</v>
      </c>
      <c r="F288" t="s">
        <v>36</v>
      </c>
      <c r="G288" t="s">
        <v>20</v>
      </c>
      <c r="H288">
        <v>82287</v>
      </c>
      <c r="I288">
        <v>18</v>
      </c>
      <c r="J288">
        <v>3</v>
      </c>
      <c r="K288" t="s">
        <v>29</v>
      </c>
      <c r="L288" t="s">
        <v>45</v>
      </c>
      <c r="M288">
        <v>23</v>
      </c>
      <c r="N288" t="s">
        <v>21</v>
      </c>
      <c r="O288">
        <v>5</v>
      </c>
    </row>
    <row r="289" spans="1:15" x14ac:dyDescent="0.3">
      <c r="A289" t="s">
        <v>327</v>
      </c>
      <c r="B289">
        <v>49</v>
      </c>
      <c r="C289" t="s">
        <v>16</v>
      </c>
      <c r="D289" t="s">
        <v>40</v>
      </c>
      <c r="E289" t="s">
        <v>26</v>
      </c>
      <c r="F289" t="s">
        <v>36</v>
      </c>
      <c r="G289" t="s">
        <v>20</v>
      </c>
      <c r="H289">
        <v>71702</v>
      </c>
      <c r="I289">
        <v>9</v>
      </c>
      <c r="J289">
        <v>7</v>
      </c>
      <c r="K289" t="s">
        <v>29</v>
      </c>
      <c r="L289" t="s">
        <v>47</v>
      </c>
      <c r="M289">
        <v>66</v>
      </c>
      <c r="N289" t="s">
        <v>29</v>
      </c>
      <c r="O289">
        <v>2</v>
      </c>
    </row>
    <row r="290" spans="1:15" x14ac:dyDescent="0.3">
      <c r="A290" t="s">
        <v>328</v>
      </c>
      <c r="B290">
        <v>26</v>
      </c>
      <c r="C290" t="s">
        <v>24</v>
      </c>
      <c r="D290" t="s">
        <v>17</v>
      </c>
      <c r="E290" t="s">
        <v>18</v>
      </c>
      <c r="F290" t="s">
        <v>27</v>
      </c>
      <c r="G290" t="s">
        <v>28</v>
      </c>
      <c r="H290">
        <v>56993</v>
      </c>
      <c r="I290">
        <v>14</v>
      </c>
      <c r="J290">
        <v>6</v>
      </c>
      <c r="K290" t="s">
        <v>29</v>
      </c>
      <c r="L290" t="s">
        <v>30</v>
      </c>
      <c r="M290">
        <v>82</v>
      </c>
      <c r="N290" t="s">
        <v>21</v>
      </c>
      <c r="O290">
        <v>4</v>
      </c>
    </row>
    <row r="291" spans="1:15" x14ac:dyDescent="0.3">
      <c r="A291" t="s">
        <v>329</v>
      </c>
      <c r="B291">
        <v>55</v>
      </c>
      <c r="C291" t="s">
        <v>24</v>
      </c>
      <c r="D291" t="s">
        <v>17</v>
      </c>
      <c r="E291" t="s">
        <v>18</v>
      </c>
      <c r="F291" t="s">
        <v>38</v>
      </c>
      <c r="G291" t="s">
        <v>20</v>
      </c>
      <c r="H291">
        <v>51875</v>
      </c>
      <c r="I291">
        <v>9</v>
      </c>
      <c r="J291">
        <v>8</v>
      </c>
      <c r="K291" t="s">
        <v>21</v>
      </c>
      <c r="L291" t="s">
        <v>45</v>
      </c>
      <c r="M291">
        <v>76</v>
      </c>
      <c r="N291" t="s">
        <v>29</v>
      </c>
      <c r="O291">
        <v>3</v>
      </c>
    </row>
    <row r="292" spans="1:15" x14ac:dyDescent="0.3">
      <c r="A292" t="s">
        <v>330</v>
      </c>
      <c r="B292">
        <v>57</v>
      </c>
      <c r="C292" t="s">
        <v>16</v>
      </c>
      <c r="D292" t="s">
        <v>17</v>
      </c>
      <c r="E292" t="s">
        <v>26</v>
      </c>
      <c r="F292" t="s">
        <v>19</v>
      </c>
      <c r="G292" t="s">
        <v>28</v>
      </c>
      <c r="H292">
        <v>26054</v>
      </c>
      <c r="I292">
        <v>15</v>
      </c>
      <c r="J292">
        <v>6</v>
      </c>
      <c r="K292" t="s">
        <v>29</v>
      </c>
      <c r="L292" t="s">
        <v>47</v>
      </c>
      <c r="M292">
        <v>16</v>
      </c>
      <c r="N292" t="s">
        <v>21</v>
      </c>
      <c r="O292">
        <v>4</v>
      </c>
    </row>
    <row r="293" spans="1:15" x14ac:dyDescent="0.3">
      <c r="A293" t="s">
        <v>331</v>
      </c>
      <c r="B293">
        <v>44</v>
      </c>
      <c r="C293" t="s">
        <v>24</v>
      </c>
      <c r="D293" t="s">
        <v>35</v>
      </c>
      <c r="E293" t="s">
        <v>26</v>
      </c>
      <c r="F293" t="s">
        <v>27</v>
      </c>
      <c r="G293" t="s">
        <v>20</v>
      </c>
      <c r="H293">
        <v>119809</v>
      </c>
      <c r="I293">
        <v>11</v>
      </c>
      <c r="J293">
        <v>9</v>
      </c>
      <c r="K293" t="s">
        <v>29</v>
      </c>
      <c r="L293" t="s">
        <v>47</v>
      </c>
      <c r="M293">
        <v>30</v>
      </c>
      <c r="N293" t="s">
        <v>29</v>
      </c>
      <c r="O293">
        <v>2</v>
      </c>
    </row>
    <row r="294" spans="1:15" x14ac:dyDescent="0.3">
      <c r="A294" t="s">
        <v>332</v>
      </c>
      <c r="B294">
        <v>49</v>
      </c>
      <c r="C294" t="s">
        <v>16</v>
      </c>
      <c r="D294" t="s">
        <v>25</v>
      </c>
      <c r="E294" t="s">
        <v>18</v>
      </c>
      <c r="F294" t="s">
        <v>19</v>
      </c>
      <c r="G294" t="s">
        <v>28</v>
      </c>
      <c r="H294">
        <v>68517</v>
      </c>
      <c r="I294">
        <v>17</v>
      </c>
      <c r="J294">
        <v>0</v>
      </c>
      <c r="K294" t="s">
        <v>21</v>
      </c>
      <c r="L294" t="s">
        <v>45</v>
      </c>
      <c r="M294">
        <v>31</v>
      </c>
      <c r="N294" t="s">
        <v>21</v>
      </c>
      <c r="O294">
        <v>3</v>
      </c>
    </row>
    <row r="295" spans="1:15" x14ac:dyDescent="0.3">
      <c r="A295" t="s">
        <v>333</v>
      </c>
      <c r="B295">
        <v>51</v>
      </c>
      <c r="C295" t="s">
        <v>16</v>
      </c>
      <c r="D295" t="s">
        <v>35</v>
      </c>
      <c r="E295" t="s">
        <v>26</v>
      </c>
      <c r="F295" t="s">
        <v>38</v>
      </c>
      <c r="G295" t="s">
        <v>28</v>
      </c>
      <c r="H295">
        <v>96368</v>
      </c>
      <c r="I295">
        <v>0</v>
      </c>
      <c r="J295">
        <v>6</v>
      </c>
      <c r="K295" t="s">
        <v>21</v>
      </c>
      <c r="L295" t="s">
        <v>47</v>
      </c>
      <c r="M295">
        <v>33</v>
      </c>
      <c r="N295" t="s">
        <v>21</v>
      </c>
      <c r="O295">
        <v>3</v>
      </c>
    </row>
    <row r="296" spans="1:15" x14ac:dyDescent="0.3">
      <c r="A296" t="s">
        <v>334</v>
      </c>
      <c r="B296">
        <v>55</v>
      </c>
      <c r="C296" t="s">
        <v>16</v>
      </c>
      <c r="D296" t="s">
        <v>44</v>
      </c>
      <c r="E296" t="s">
        <v>33</v>
      </c>
      <c r="F296" t="s">
        <v>27</v>
      </c>
      <c r="G296" t="s">
        <v>28</v>
      </c>
      <c r="H296">
        <v>49670</v>
      </c>
      <c r="I296">
        <v>15</v>
      </c>
      <c r="J296">
        <v>0</v>
      </c>
      <c r="K296" t="s">
        <v>21</v>
      </c>
      <c r="L296" t="s">
        <v>47</v>
      </c>
      <c r="M296">
        <v>19</v>
      </c>
      <c r="N296" t="s">
        <v>21</v>
      </c>
      <c r="O296">
        <v>1</v>
      </c>
    </row>
    <row r="297" spans="1:15" x14ac:dyDescent="0.3">
      <c r="A297" t="s">
        <v>335</v>
      </c>
      <c r="B297">
        <v>53</v>
      </c>
      <c r="C297" t="s">
        <v>16</v>
      </c>
      <c r="D297" t="s">
        <v>17</v>
      </c>
      <c r="E297" t="s">
        <v>41</v>
      </c>
      <c r="F297" t="s">
        <v>19</v>
      </c>
      <c r="G297" t="s">
        <v>28</v>
      </c>
      <c r="H297">
        <v>69112</v>
      </c>
      <c r="I297">
        <v>5</v>
      </c>
      <c r="J297">
        <v>6</v>
      </c>
      <c r="K297" t="s">
        <v>21</v>
      </c>
      <c r="L297" t="s">
        <v>30</v>
      </c>
      <c r="M297">
        <v>50</v>
      </c>
      <c r="N297" t="s">
        <v>21</v>
      </c>
      <c r="O297">
        <v>2</v>
      </c>
    </row>
    <row r="298" spans="1:15" x14ac:dyDescent="0.3">
      <c r="A298" t="s">
        <v>336</v>
      </c>
      <c r="B298">
        <v>41</v>
      </c>
      <c r="C298" t="s">
        <v>24</v>
      </c>
      <c r="D298" t="s">
        <v>44</v>
      </c>
      <c r="E298" t="s">
        <v>41</v>
      </c>
      <c r="F298" t="s">
        <v>19</v>
      </c>
      <c r="G298" t="s">
        <v>28</v>
      </c>
      <c r="H298">
        <v>108388</v>
      </c>
      <c r="I298">
        <v>2</v>
      </c>
      <c r="J298">
        <v>9</v>
      </c>
      <c r="K298" t="s">
        <v>29</v>
      </c>
      <c r="L298" t="s">
        <v>30</v>
      </c>
      <c r="M298">
        <v>5</v>
      </c>
      <c r="N298" t="s">
        <v>21</v>
      </c>
      <c r="O298">
        <v>2</v>
      </c>
    </row>
    <row r="299" spans="1:15" x14ac:dyDescent="0.3">
      <c r="A299" t="s">
        <v>337</v>
      </c>
      <c r="B299">
        <v>52</v>
      </c>
      <c r="C299" t="s">
        <v>24</v>
      </c>
      <c r="D299" t="s">
        <v>32</v>
      </c>
      <c r="E299" t="s">
        <v>41</v>
      </c>
      <c r="F299" t="s">
        <v>36</v>
      </c>
      <c r="G299" t="s">
        <v>20</v>
      </c>
      <c r="H299">
        <v>109156</v>
      </c>
      <c r="I299">
        <v>1</v>
      </c>
      <c r="J299">
        <v>7</v>
      </c>
      <c r="K299" t="s">
        <v>21</v>
      </c>
      <c r="L299" t="s">
        <v>30</v>
      </c>
      <c r="M299">
        <v>64</v>
      </c>
      <c r="N299" t="s">
        <v>21</v>
      </c>
      <c r="O299">
        <v>1</v>
      </c>
    </row>
    <row r="300" spans="1:15" x14ac:dyDescent="0.3">
      <c r="A300" t="s">
        <v>338</v>
      </c>
      <c r="B300">
        <v>43</v>
      </c>
      <c r="C300" t="s">
        <v>24</v>
      </c>
      <c r="D300" t="s">
        <v>40</v>
      </c>
      <c r="E300" t="s">
        <v>33</v>
      </c>
      <c r="F300" t="s">
        <v>36</v>
      </c>
      <c r="G300" t="s">
        <v>28</v>
      </c>
      <c r="H300">
        <v>48307</v>
      </c>
      <c r="I300">
        <v>1</v>
      </c>
      <c r="J300">
        <v>8</v>
      </c>
      <c r="K300" t="s">
        <v>29</v>
      </c>
      <c r="L300" t="s">
        <v>30</v>
      </c>
      <c r="M300">
        <v>96</v>
      </c>
      <c r="N300" t="s">
        <v>21</v>
      </c>
      <c r="O300">
        <v>4</v>
      </c>
    </row>
    <row r="301" spans="1:15" x14ac:dyDescent="0.3">
      <c r="A301" t="s">
        <v>339</v>
      </c>
      <c r="B301">
        <v>53</v>
      </c>
      <c r="C301" t="s">
        <v>24</v>
      </c>
      <c r="D301" t="s">
        <v>40</v>
      </c>
      <c r="E301" t="s">
        <v>26</v>
      </c>
      <c r="F301" t="s">
        <v>36</v>
      </c>
      <c r="G301" t="s">
        <v>20</v>
      </c>
      <c r="H301">
        <v>87087</v>
      </c>
      <c r="I301">
        <v>12</v>
      </c>
      <c r="J301">
        <v>2</v>
      </c>
      <c r="K301" t="s">
        <v>29</v>
      </c>
      <c r="L301" t="s">
        <v>30</v>
      </c>
      <c r="M301">
        <v>61</v>
      </c>
      <c r="N301" t="s">
        <v>21</v>
      </c>
      <c r="O301">
        <v>1</v>
      </c>
    </row>
    <row r="302" spans="1:15" x14ac:dyDescent="0.3">
      <c r="A302" t="s">
        <v>340</v>
      </c>
      <c r="B302">
        <v>23</v>
      </c>
      <c r="C302" t="s">
        <v>16</v>
      </c>
      <c r="D302" t="s">
        <v>35</v>
      </c>
      <c r="E302" t="s">
        <v>50</v>
      </c>
      <c r="F302" t="s">
        <v>27</v>
      </c>
      <c r="G302" t="s">
        <v>28</v>
      </c>
      <c r="H302">
        <v>67922</v>
      </c>
      <c r="I302">
        <v>8</v>
      </c>
      <c r="J302">
        <v>3</v>
      </c>
      <c r="K302" t="s">
        <v>21</v>
      </c>
      <c r="L302" t="s">
        <v>30</v>
      </c>
      <c r="M302">
        <v>7</v>
      </c>
      <c r="N302" t="s">
        <v>21</v>
      </c>
      <c r="O302">
        <v>2</v>
      </c>
    </row>
    <row r="303" spans="1:15" x14ac:dyDescent="0.3">
      <c r="A303" t="s">
        <v>341</v>
      </c>
      <c r="B303">
        <v>38</v>
      </c>
      <c r="C303" t="s">
        <v>16</v>
      </c>
      <c r="D303" t="s">
        <v>25</v>
      </c>
      <c r="E303" t="s">
        <v>26</v>
      </c>
      <c r="F303" t="s">
        <v>38</v>
      </c>
      <c r="G303" t="s">
        <v>28</v>
      </c>
      <c r="H303">
        <v>83080</v>
      </c>
      <c r="I303">
        <v>15</v>
      </c>
      <c r="J303">
        <v>3</v>
      </c>
      <c r="K303" t="s">
        <v>21</v>
      </c>
      <c r="L303" t="s">
        <v>45</v>
      </c>
      <c r="M303">
        <v>22</v>
      </c>
      <c r="N303" t="s">
        <v>29</v>
      </c>
      <c r="O303">
        <v>4</v>
      </c>
    </row>
    <row r="304" spans="1:15" x14ac:dyDescent="0.3">
      <c r="A304" t="s">
        <v>342</v>
      </c>
      <c r="B304">
        <v>45</v>
      </c>
      <c r="C304" t="s">
        <v>24</v>
      </c>
      <c r="D304" t="s">
        <v>44</v>
      </c>
      <c r="E304" t="s">
        <v>18</v>
      </c>
      <c r="F304" t="s">
        <v>38</v>
      </c>
      <c r="G304" t="s">
        <v>20</v>
      </c>
      <c r="H304">
        <v>113348</v>
      </c>
      <c r="I304">
        <v>4</v>
      </c>
      <c r="J304">
        <v>8</v>
      </c>
      <c r="K304" t="s">
        <v>21</v>
      </c>
      <c r="L304" t="s">
        <v>30</v>
      </c>
      <c r="M304">
        <v>56</v>
      </c>
      <c r="N304" t="s">
        <v>21</v>
      </c>
      <c r="O304">
        <v>3</v>
      </c>
    </row>
    <row r="305" spans="1:15" x14ac:dyDescent="0.3">
      <c r="A305" t="s">
        <v>343</v>
      </c>
      <c r="B305">
        <v>51</v>
      </c>
      <c r="C305" t="s">
        <v>16</v>
      </c>
      <c r="D305" t="s">
        <v>25</v>
      </c>
      <c r="E305" t="s">
        <v>41</v>
      </c>
      <c r="F305" t="s">
        <v>36</v>
      </c>
      <c r="G305" t="s">
        <v>20</v>
      </c>
      <c r="H305">
        <v>99335</v>
      </c>
      <c r="I305">
        <v>6</v>
      </c>
      <c r="J305">
        <v>6</v>
      </c>
      <c r="K305" t="s">
        <v>21</v>
      </c>
      <c r="L305" t="s">
        <v>47</v>
      </c>
      <c r="M305">
        <v>64</v>
      </c>
      <c r="N305" t="s">
        <v>29</v>
      </c>
      <c r="O305">
        <v>1</v>
      </c>
    </row>
    <row r="306" spans="1:15" x14ac:dyDescent="0.3">
      <c r="A306" t="s">
        <v>344</v>
      </c>
      <c r="B306">
        <v>23</v>
      </c>
      <c r="C306" t="s">
        <v>16</v>
      </c>
      <c r="D306" t="s">
        <v>35</v>
      </c>
      <c r="E306" t="s">
        <v>26</v>
      </c>
      <c r="F306" t="s">
        <v>36</v>
      </c>
      <c r="G306" t="s">
        <v>20</v>
      </c>
      <c r="H306">
        <v>46312</v>
      </c>
      <c r="I306">
        <v>12</v>
      </c>
      <c r="J306">
        <v>2</v>
      </c>
      <c r="K306" t="s">
        <v>21</v>
      </c>
      <c r="L306" t="s">
        <v>45</v>
      </c>
      <c r="M306">
        <v>38</v>
      </c>
      <c r="N306" t="s">
        <v>21</v>
      </c>
      <c r="O306">
        <v>4</v>
      </c>
    </row>
    <row r="307" spans="1:15" x14ac:dyDescent="0.3">
      <c r="A307" t="s">
        <v>345</v>
      </c>
      <c r="B307">
        <v>44</v>
      </c>
      <c r="C307" t="s">
        <v>16</v>
      </c>
      <c r="D307" t="s">
        <v>40</v>
      </c>
      <c r="E307" t="s">
        <v>50</v>
      </c>
      <c r="F307" t="s">
        <v>36</v>
      </c>
      <c r="G307" t="s">
        <v>20</v>
      </c>
      <c r="H307">
        <v>86985</v>
      </c>
      <c r="I307">
        <v>19</v>
      </c>
      <c r="J307">
        <v>9</v>
      </c>
      <c r="K307" t="s">
        <v>21</v>
      </c>
      <c r="L307" t="s">
        <v>47</v>
      </c>
      <c r="M307">
        <v>97</v>
      </c>
      <c r="N307" t="s">
        <v>29</v>
      </c>
      <c r="O307">
        <v>4</v>
      </c>
    </row>
    <row r="308" spans="1:15" x14ac:dyDescent="0.3">
      <c r="A308" t="s">
        <v>346</v>
      </c>
      <c r="B308">
        <v>52</v>
      </c>
      <c r="C308" t="s">
        <v>24</v>
      </c>
      <c r="D308" t="s">
        <v>25</v>
      </c>
      <c r="E308" t="s">
        <v>18</v>
      </c>
      <c r="F308" t="s">
        <v>19</v>
      </c>
      <c r="G308" t="s">
        <v>28</v>
      </c>
      <c r="H308">
        <v>77608</v>
      </c>
      <c r="I308">
        <v>12</v>
      </c>
      <c r="J308">
        <v>4</v>
      </c>
      <c r="K308" t="s">
        <v>29</v>
      </c>
      <c r="L308" t="s">
        <v>30</v>
      </c>
      <c r="M308">
        <v>93</v>
      </c>
      <c r="N308" t="s">
        <v>29</v>
      </c>
      <c r="O308">
        <v>4</v>
      </c>
    </row>
    <row r="309" spans="1:15" x14ac:dyDescent="0.3">
      <c r="A309" t="s">
        <v>347</v>
      </c>
      <c r="B309">
        <v>42</v>
      </c>
      <c r="C309" t="s">
        <v>24</v>
      </c>
      <c r="D309" t="s">
        <v>25</v>
      </c>
      <c r="E309" t="s">
        <v>33</v>
      </c>
      <c r="F309" t="s">
        <v>36</v>
      </c>
      <c r="G309" t="s">
        <v>20</v>
      </c>
      <c r="H309">
        <v>109962</v>
      </c>
      <c r="I309">
        <v>6</v>
      </c>
      <c r="J309">
        <v>6</v>
      </c>
      <c r="K309" t="s">
        <v>29</v>
      </c>
      <c r="L309" t="s">
        <v>30</v>
      </c>
      <c r="M309">
        <v>64</v>
      </c>
      <c r="N309" t="s">
        <v>21</v>
      </c>
      <c r="O309">
        <v>1</v>
      </c>
    </row>
    <row r="310" spans="1:15" x14ac:dyDescent="0.3">
      <c r="A310" t="s">
        <v>348</v>
      </c>
      <c r="B310">
        <v>43</v>
      </c>
      <c r="C310" t="s">
        <v>24</v>
      </c>
      <c r="D310" t="s">
        <v>40</v>
      </c>
      <c r="E310" t="s">
        <v>33</v>
      </c>
      <c r="F310" t="s">
        <v>19</v>
      </c>
      <c r="G310" t="s">
        <v>28</v>
      </c>
      <c r="H310">
        <v>60277</v>
      </c>
      <c r="I310">
        <v>9</v>
      </c>
      <c r="J310">
        <v>7</v>
      </c>
      <c r="K310" t="s">
        <v>29</v>
      </c>
      <c r="L310" t="s">
        <v>47</v>
      </c>
      <c r="M310">
        <v>30</v>
      </c>
      <c r="N310" t="s">
        <v>21</v>
      </c>
      <c r="O310">
        <v>3</v>
      </c>
    </row>
    <row r="311" spans="1:15" x14ac:dyDescent="0.3">
      <c r="A311" t="s">
        <v>349</v>
      </c>
      <c r="B311">
        <v>22</v>
      </c>
      <c r="C311" t="s">
        <v>16</v>
      </c>
      <c r="D311" t="s">
        <v>44</v>
      </c>
      <c r="E311" t="s">
        <v>50</v>
      </c>
      <c r="F311" t="s">
        <v>38</v>
      </c>
      <c r="G311" t="s">
        <v>20</v>
      </c>
      <c r="H311">
        <v>51551</v>
      </c>
      <c r="I311">
        <v>14</v>
      </c>
      <c r="J311">
        <v>0</v>
      </c>
      <c r="K311" t="s">
        <v>29</v>
      </c>
      <c r="L311" t="s">
        <v>47</v>
      </c>
      <c r="M311">
        <v>76</v>
      </c>
      <c r="N311" t="s">
        <v>29</v>
      </c>
      <c r="O311">
        <v>4</v>
      </c>
    </row>
    <row r="312" spans="1:15" x14ac:dyDescent="0.3">
      <c r="A312" t="s">
        <v>350</v>
      </c>
      <c r="B312">
        <v>47</v>
      </c>
      <c r="C312" t="s">
        <v>24</v>
      </c>
      <c r="D312" t="s">
        <v>40</v>
      </c>
      <c r="E312" t="s">
        <v>18</v>
      </c>
      <c r="F312" t="s">
        <v>27</v>
      </c>
      <c r="G312" t="s">
        <v>20</v>
      </c>
      <c r="H312">
        <v>109813</v>
      </c>
      <c r="I312">
        <v>5</v>
      </c>
      <c r="J312">
        <v>1</v>
      </c>
      <c r="K312" t="s">
        <v>21</v>
      </c>
      <c r="L312" t="s">
        <v>47</v>
      </c>
      <c r="M312">
        <v>23</v>
      </c>
      <c r="N312" t="s">
        <v>29</v>
      </c>
      <c r="O312">
        <v>1</v>
      </c>
    </row>
    <row r="313" spans="1:15" x14ac:dyDescent="0.3">
      <c r="A313" t="s">
        <v>351</v>
      </c>
      <c r="B313">
        <v>22</v>
      </c>
      <c r="C313" t="s">
        <v>24</v>
      </c>
      <c r="D313" t="s">
        <v>25</v>
      </c>
      <c r="E313" t="s">
        <v>41</v>
      </c>
      <c r="F313" t="s">
        <v>27</v>
      </c>
      <c r="G313" t="s">
        <v>28</v>
      </c>
      <c r="H313">
        <v>76597</v>
      </c>
      <c r="I313">
        <v>4</v>
      </c>
      <c r="J313">
        <v>6</v>
      </c>
      <c r="K313" t="s">
        <v>21</v>
      </c>
      <c r="L313" t="s">
        <v>22</v>
      </c>
      <c r="M313">
        <v>26</v>
      </c>
      <c r="N313" t="s">
        <v>21</v>
      </c>
      <c r="O313">
        <v>2</v>
      </c>
    </row>
    <row r="314" spans="1:15" x14ac:dyDescent="0.3">
      <c r="A314" t="s">
        <v>352</v>
      </c>
      <c r="B314">
        <v>46</v>
      </c>
      <c r="C314" t="s">
        <v>24</v>
      </c>
      <c r="D314" t="s">
        <v>44</v>
      </c>
      <c r="E314" t="s">
        <v>26</v>
      </c>
      <c r="F314" t="s">
        <v>27</v>
      </c>
      <c r="G314" t="s">
        <v>28</v>
      </c>
      <c r="H314">
        <v>65212</v>
      </c>
      <c r="I314">
        <v>1</v>
      </c>
      <c r="J314">
        <v>1</v>
      </c>
      <c r="K314" t="s">
        <v>29</v>
      </c>
      <c r="L314" t="s">
        <v>22</v>
      </c>
      <c r="M314">
        <v>97</v>
      </c>
      <c r="N314" t="s">
        <v>21</v>
      </c>
      <c r="O314">
        <v>1</v>
      </c>
    </row>
    <row r="315" spans="1:15" x14ac:dyDescent="0.3">
      <c r="A315" t="s">
        <v>353</v>
      </c>
      <c r="B315">
        <v>37</v>
      </c>
      <c r="C315" t="s">
        <v>24</v>
      </c>
      <c r="D315" t="s">
        <v>44</v>
      </c>
      <c r="E315" t="s">
        <v>18</v>
      </c>
      <c r="F315" t="s">
        <v>27</v>
      </c>
      <c r="G315" t="s">
        <v>20</v>
      </c>
      <c r="H315">
        <v>29637</v>
      </c>
      <c r="I315">
        <v>14</v>
      </c>
      <c r="J315">
        <v>6</v>
      </c>
      <c r="K315" t="s">
        <v>29</v>
      </c>
      <c r="L315" t="s">
        <v>22</v>
      </c>
      <c r="M315">
        <v>37</v>
      </c>
      <c r="N315" t="s">
        <v>21</v>
      </c>
      <c r="O315">
        <v>1</v>
      </c>
    </row>
    <row r="316" spans="1:15" x14ac:dyDescent="0.3">
      <c r="A316" t="s">
        <v>354</v>
      </c>
      <c r="B316">
        <v>53</v>
      </c>
      <c r="C316" t="s">
        <v>24</v>
      </c>
      <c r="D316" t="s">
        <v>40</v>
      </c>
      <c r="E316" t="s">
        <v>33</v>
      </c>
      <c r="F316" t="s">
        <v>19</v>
      </c>
      <c r="G316" t="s">
        <v>28</v>
      </c>
      <c r="H316">
        <v>63258</v>
      </c>
      <c r="I316">
        <v>15</v>
      </c>
      <c r="J316">
        <v>8</v>
      </c>
      <c r="K316" t="s">
        <v>29</v>
      </c>
      <c r="L316" t="s">
        <v>22</v>
      </c>
      <c r="M316">
        <v>42</v>
      </c>
      <c r="N316" t="s">
        <v>29</v>
      </c>
      <c r="O316">
        <v>1</v>
      </c>
    </row>
    <row r="317" spans="1:15" x14ac:dyDescent="0.3">
      <c r="A317" t="s">
        <v>355</v>
      </c>
      <c r="B317">
        <v>29</v>
      </c>
      <c r="C317" t="s">
        <v>24</v>
      </c>
      <c r="D317" t="s">
        <v>25</v>
      </c>
      <c r="E317" t="s">
        <v>50</v>
      </c>
      <c r="F317" t="s">
        <v>19</v>
      </c>
      <c r="G317" t="s">
        <v>28</v>
      </c>
      <c r="H317">
        <v>55693</v>
      </c>
      <c r="I317">
        <v>18</v>
      </c>
      <c r="J317">
        <v>1</v>
      </c>
      <c r="K317" t="s">
        <v>21</v>
      </c>
      <c r="L317" t="s">
        <v>45</v>
      </c>
      <c r="M317">
        <v>39</v>
      </c>
      <c r="N317" t="s">
        <v>21</v>
      </c>
      <c r="O317">
        <v>4</v>
      </c>
    </row>
    <row r="318" spans="1:15" x14ac:dyDescent="0.3">
      <c r="A318" t="s">
        <v>356</v>
      </c>
      <c r="B318">
        <v>59</v>
      </c>
      <c r="C318" t="s">
        <v>16</v>
      </c>
      <c r="D318" t="s">
        <v>35</v>
      </c>
      <c r="E318" t="s">
        <v>50</v>
      </c>
      <c r="F318" t="s">
        <v>36</v>
      </c>
      <c r="G318" t="s">
        <v>28</v>
      </c>
      <c r="H318">
        <v>29824</v>
      </c>
      <c r="I318">
        <v>8</v>
      </c>
      <c r="J318">
        <v>6</v>
      </c>
      <c r="K318" t="s">
        <v>21</v>
      </c>
      <c r="L318" t="s">
        <v>30</v>
      </c>
      <c r="M318">
        <v>71</v>
      </c>
      <c r="N318" t="s">
        <v>21</v>
      </c>
      <c r="O318">
        <v>1</v>
      </c>
    </row>
    <row r="319" spans="1:15" x14ac:dyDescent="0.3">
      <c r="A319" t="s">
        <v>357</v>
      </c>
      <c r="B319">
        <v>49</v>
      </c>
      <c r="C319" t="s">
        <v>16</v>
      </c>
      <c r="D319" t="s">
        <v>25</v>
      </c>
      <c r="E319" t="s">
        <v>26</v>
      </c>
      <c r="F319" t="s">
        <v>19</v>
      </c>
      <c r="G319" t="s">
        <v>28</v>
      </c>
      <c r="H319">
        <v>46950</v>
      </c>
      <c r="I319">
        <v>18</v>
      </c>
      <c r="J319">
        <v>3</v>
      </c>
      <c r="K319" t="s">
        <v>21</v>
      </c>
      <c r="L319" t="s">
        <v>47</v>
      </c>
      <c r="M319">
        <v>87</v>
      </c>
      <c r="N319" t="s">
        <v>21</v>
      </c>
      <c r="O319">
        <v>2</v>
      </c>
    </row>
    <row r="320" spans="1:15" x14ac:dyDescent="0.3">
      <c r="A320" t="s">
        <v>358</v>
      </c>
      <c r="B320">
        <v>46</v>
      </c>
      <c r="C320" t="s">
        <v>24</v>
      </c>
      <c r="D320" t="s">
        <v>17</v>
      </c>
      <c r="E320" t="s">
        <v>50</v>
      </c>
      <c r="F320" t="s">
        <v>36</v>
      </c>
      <c r="G320" t="s">
        <v>28</v>
      </c>
      <c r="H320">
        <v>43488</v>
      </c>
      <c r="I320">
        <v>6</v>
      </c>
      <c r="J320">
        <v>1</v>
      </c>
      <c r="K320" t="s">
        <v>29</v>
      </c>
      <c r="L320" t="s">
        <v>30</v>
      </c>
      <c r="M320">
        <v>14</v>
      </c>
      <c r="N320" t="s">
        <v>21</v>
      </c>
      <c r="O320">
        <v>4</v>
      </c>
    </row>
    <row r="321" spans="1:15" x14ac:dyDescent="0.3">
      <c r="A321" t="s">
        <v>359</v>
      </c>
      <c r="B321">
        <v>55</v>
      </c>
      <c r="C321" t="s">
        <v>24</v>
      </c>
      <c r="D321" t="s">
        <v>32</v>
      </c>
      <c r="E321" t="s">
        <v>50</v>
      </c>
      <c r="F321" t="s">
        <v>36</v>
      </c>
      <c r="G321" t="s">
        <v>28</v>
      </c>
      <c r="H321">
        <v>20215</v>
      </c>
      <c r="I321">
        <v>3</v>
      </c>
      <c r="J321">
        <v>6</v>
      </c>
      <c r="K321" t="s">
        <v>29</v>
      </c>
      <c r="L321" t="s">
        <v>47</v>
      </c>
      <c r="M321">
        <v>95</v>
      </c>
      <c r="N321" t="s">
        <v>21</v>
      </c>
      <c r="O321">
        <v>2</v>
      </c>
    </row>
    <row r="322" spans="1:15" x14ac:dyDescent="0.3">
      <c r="A322" t="s">
        <v>360</v>
      </c>
      <c r="B322">
        <v>45</v>
      </c>
      <c r="C322" t="s">
        <v>16</v>
      </c>
      <c r="D322" t="s">
        <v>35</v>
      </c>
      <c r="E322" t="s">
        <v>18</v>
      </c>
      <c r="F322" t="s">
        <v>27</v>
      </c>
      <c r="G322" t="s">
        <v>28</v>
      </c>
      <c r="H322">
        <v>31523</v>
      </c>
      <c r="I322">
        <v>2</v>
      </c>
      <c r="J322">
        <v>4</v>
      </c>
      <c r="K322" t="s">
        <v>21</v>
      </c>
      <c r="L322" t="s">
        <v>30</v>
      </c>
      <c r="M322">
        <v>19</v>
      </c>
      <c r="N322" t="s">
        <v>29</v>
      </c>
      <c r="O322">
        <v>5</v>
      </c>
    </row>
    <row r="323" spans="1:15" x14ac:dyDescent="0.3">
      <c r="A323" t="s">
        <v>361</v>
      </c>
      <c r="B323">
        <v>44</v>
      </c>
      <c r="C323" t="s">
        <v>16</v>
      </c>
      <c r="D323" t="s">
        <v>44</v>
      </c>
      <c r="E323" t="s">
        <v>41</v>
      </c>
      <c r="F323" t="s">
        <v>19</v>
      </c>
      <c r="G323" t="s">
        <v>28</v>
      </c>
      <c r="H323">
        <v>95900</v>
      </c>
      <c r="I323">
        <v>19</v>
      </c>
      <c r="J323">
        <v>0</v>
      </c>
      <c r="K323" t="s">
        <v>21</v>
      </c>
      <c r="L323" t="s">
        <v>45</v>
      </c>
      <c r="M323">
        <v>15</v>
      </c>
      <c r="N323" t="s">
        <v>29</v>
      </c>
      <c r="O323">
        <v>1</v>
      </c>
    </row>
    <row r="324" spans="1:15" x14ac:dyDescent="0.3">
      <c r="A324" t="s">
        <v>362</v>
      </c>
      <c r="B324">
        <v>33</v>
      </c>
      <c r="C324" t="s">
        <v>24</v>
      </c>
      <c r="D324" t="s">
        <v>35</v>
      </c>
      <c r="E324" t="s">
        <v>26</v>
      </c>
      <c r="F324" t="s">
        <v>19</v>
      </c>
      <c r="G324" t="s">
        <v>20</v>
      </c>
      <c r="H324">
        <v>88689</v>
      </c>
      <c r="I324">
        <v>10</v>
      </c>
      <c r="J324">
        <v>4</v>
      </c>
      <c r="K324" t="s">
        <v>29</v>
      </c>
      <c r="L324" t="s">
        <v>22</v>
      </c>
      <c r="M324">
        <v>94</v>
      </c>
      <c r="N324" t="s">
        <v>21</v>
      </c>
      <c r="O324">
        <v>4</v>
      </c>
    </row>
    <row r="325" spans="1:15" x14ac:dyDescent="0.3">
      <c r="A325" t="s">
        <v>363</v>
      </c>
      <c r="B325">
        <v>27</v>
      </c>
      <c r="C325" t="s">
        <v>24</v>
      </c>
      <c r="D325" t="s">
        <v>44</v>
      </c>
      <c r="E325" t="s">
        <v>18</v>
      </c>
      <c r="F325" t="s">
        <v>36</v>
      </c>
      <c r="G325" t="s">
        <v>28</v>
      </c>
      <c r="H325">
        <v>43834</v>
      </c>
      <c r="I325">
        <v>0</v>
      </c>
      <c r="J325">
        <v>2</v>
      </c>
      <c r="K325" t="s">
        <v>29</v>
      </c>
      <c r="L325" t="s">
        <v>30</v>
      </c>
      <c r="M325">
        <v>28</v>
      </c>
      <c r="N325" t="s">
        <v>21</v>
      </c>
      <c r="O325">
        <v>4</v>
      </c>
    </row>
    <row r="326" spans="1:15" x14ac:dyDescent="0.3">
      <c r="A326" t="s">
        <v>364</v>
      </c>
      <c r="B326">
        <v>56</v>
      </c>
      <c r="C326" t="s">
        <v>24</v>
      </c>
      <c r="D326" t="s">
        <v>44</v>
      </c>
      <c r="E326" t="s">
        <v>41</v>
      </c>
      <c r="F326" t="s">
        <v>36</v>
      </c>
      <c r="G326" t="s">
        <v>20</v>
      </c>
      <c r="H326">
        <v>54474</v>
      </c>
      <c r="I326">
        <v>5</v>
      </c>
      <c r="J326">
        <v>6</v>
      </c>
      <c r="K326" t="s">
        <v>21</v>
      </c>
      <c r="L326" t="s">
        <v>47</v>
      </c>
      <c r="M326">
        <v>81</v>
      </c>
      <c r="N326" t="s">
        <v>29</v>
      </c>
      <c r="O326">
        <v>1</v>
      </c>
    </row>
    <row r="327" spans="1:15" x14ac:dyDescent="0.3">
      <c r="A327" t="s">
        <v>365</v>
      </c>
      <c r="B327">
        <v>40</v>
      </c>
      <c r="C327" t="s">
        <v>24</v>
      </c>
      <c r="D327" t="s">
        <v>35</v>
      </c>
      <c r="E327" t="s">
        <v>18</v>
      </c>
      <c r="F327" t="s">
        <v>38</v>
      </c>
      <c r="G327" t="s">
        <v>28</v>
      </c>
      <c r="H327">
        <v>63066</v>
      </c>
      <c r="I327">
        <v>10</v>
      </c>
      <c r="J327">
        <v>5</v>
      </c>
      <c r="K327" t="s">
        <v>29</v>
      </c>
      <c r="L327" t="s">
        <v>30</v>
      </c>
      <c r="M327">
        <v>8</v>
      </c>
      <c r="N327" t="s">
        <v>21</v>
      </c>
      <c r="O327">
        <v>3</v>
      </c>
    </row>
    <row r="328" spans="1:15" x14ac:dyDescent="0.3">
      <c r="A328" t="s">
        <v>366</v>
      </c>
      <c r="B328">
        <v>21</v>
      </c>
      <c r="C328" t="s">
        <v>16</v>
      </c>
      <c r="D328" t="s">
        <v>44</v>
      </c>
      <c r="E328" t="s">
        <v>18</v>
      </c>
      <c r="F328" t="s">
        <v>38</v>
      </c>
      <c r="G328" t="s">
        <v>28</v>
      </c>
      <c r="H328">
        <v>119871</v>
      </c>
      <c r="I328">
        <v>0</v>
      </c>
      <c r="J328">
        <v>7</v>
      </c>
      <c r="K328" t="s">
        <v>21</v>
      </c>
      <c r="L328" t="s">
        <v>45</v>
      </c>
      <c r="M328">
        <v>17</v>
      </c>
      <c r="N328" t="s">
        <v>29</v>
      </c>
      <c r="O328">
        <v>3</v>
      </c>
    </row>
    <row r="329" spans="1:15" x14ac:dyDescent="0.3">
      <c r="A329" t="s">
        <v>367</v>
      </c>
      <c r="B329">
        <v>28</v>
      </c>
      <c r="C329" t="s">
        <v>24</v>
      </c>
      <c r="D329" t="s">
        <v>44</v>
      </c>
      <c r="E329" t="s">
        <v>50</v>
      </c>
      <c r="F329" t="s">
        <v>36</v>
      </c>
      <c r="G329" t="s">
        <v>28</v>
      </c>
      <c r="H329">
        <v>30400</v>
      </c>
      <c r="I329">
        <v>6</v>
      </c>
      <c r="J329">
        <v>4</v>
      </c>
      <c r="K329" t="s">
        <v>21</v>
      </c>
      <c r="L329" t="s">
        <v>45</v>
      </c>
      <c r="M329">
        <v>77</v>
      </c>
      <c r="N329" t="s">
        <v>21</v>
      </c>
      <c r="O329">
        <v>2</v>
      </c>
    </row>
    <row r="330" spans="1:15" x14ac:dyDescent="0.3">
      <c r="A330" t="s">
        <v>368</v>
      </c>
      <c r="B330">
        <v>36</v>
      </c>
      <c r="C330" t="s">
        <v>24</v>
      </c>
      <c r="D330" t="s">
        <v>17</v>
      </c>
      <c r="E330" t="s">
        <v>41</v>
      </c>
      <c r="F330" t="s">
        <v>38</v>
      </c>
      <c r="G330" t="s">
        <v>28</v>
      </c>
      <c r="H330">
        <v>30345</v>
      </c>
      <c r="I330">
        <v>5</v>
      </c>
      <c r="J330">
        <v>1</v>
      </c>
      <c r="K330" t="s">
        <v>29</v>
      </c>
      <c r="L330" t="s">
        <v>30</v>
      </c>
      <c r="M330">
        <v>61</v>
      </c>
      <c r="N330" t="s">
        <v>29</v>
      </c>
      <c r="O330">
        <v>1</v>
      </c>
    </row>
    <row r="331" spans="1:15" x14ac:dyDescent="0.3">
      <c r="A331" t="s">
        <v>369</v>
      </c>
      <c r="B331">
        <v>34</v>
      </c>
      <c r="C331" t="s">
        <v>24</v>
      </c>
      <c r="D331" t="s">
        <v>25</v>
      </c>
      <c r="E331" t="s">
        <v>26</v>
      </c>
      <c r="F331" t="s">
        <v>38</v>
      </c>
      <c r="G331" t="s">
        <v>20</v>
      </c>
      <c r="H331">
        <v>53896</v>
      </c>
      <c r="I331">
        <v>13</v>
      </c>
      <c r="J331">
        <v>8</v>
      </c>
      <c r="K331" t="s">
        <v>29</v>
      </c>
      <c r="L331" t="s">
        <v>22</v>
      </c>
      <c r="M331">
        <v>41</v>
      </c>
      <c r="N331" t="s">
        <v>29</v>
      </c>
      <c r="O331">
        <v>1</v>
      </c>
    </row>
    <row r="332" spans="1:15" x14ac:dyDescent="0.3">
      <c r="A332" t="s">
        <v>370</v>
      </c>
      <c r="B332">
        <v>32</v>
      </c>
      <c r="C332" t="s">
        <v>24</v>
      </c>
      <c r="D332" t="s">
        <v>25</v>
      </c>
      <c r="E332" t="s">
        <v>26</v>
      </c>
      <c r="F332" t="s">
        <v>36</v>
      </c>
      <c r="G332" t="s">
        <v>20</v>
      </c>
      <c r="H332">
        <v>105430</v>
      </c>
      <c r="I332">
        <v>1</v>
      </c>
      <c r="J332">
        <v>7</v>
      </c>
      <c r="K332" t="s">
        <v>29</v>
      </c>
      <c r="L332" t="s">
        <v>47</v>
      </c>
      <c r="M332">
        <v>52</v>
      </c>
      <c r="N332" t="s">
        <v>21</v>
      </c>
      <c r="O332">
        <v>5</v>
      </c>
    </row>
    <row r="333" spans="1:15" x14ac:dyDescent="0.3">
      <c r="A333" t="s">
        <v>371</v>
      </c>
      <c r="B333">
        <v>43</v>
      </c>
      <c r="C333" t="s">
        <v>16</v>
      </c>
      <c r="D333" t="s">
        <v>32</v>
      </c>
      <c r="E333" t="s">
        <v>41</v>
      </c>
      <c r="F333" t="s">
        <v>36</v>
      </c>
      <c r="G333" t="s">
        <v>28</v>
      </c>
      <c r="H333">
        <v>48899</v>
      </c>
      <c r="I333">
        <v>3</v>
      </c>
      <c r="J333">
        <v>5</v>
      </c>
      <c r="K333" t="s">
        <v>21</v>
      </c>
      <c r="L333" t="s">
        <v>45</v>
      </c>
      <c r="M333">
        <v>75</v>
      </c>
      <c r="N333" t="s">
        <v>29</v>
      </c>
      <c r="O333">
        <v>3</v>
      </c>
    </row>
    <row r="334" spans="1:15" x14ac:dyDescent="0.3">
      <c r="A334" t="s">
        <v>372</v>
      </c>
      <c r="B334">
        <v>35</v>
      </c>
      <c r="C334" t="s">
        <v>16</v>
      </c>
      <c r="D334" t="s">
        <v>32</v>
      </c>
      <c r="E334" t="s">
        <v>50</v>
      </c>
      <c r="F334" t="s">
        <v>19</v>
      </c>
      <c r="G334" t="s">
        <v>20</v>
      </c>
      <c r="H334">
        <v>48229</v>
      </c>
      <c r="I334">
        <v>10</v>
      </c>
      <c r="J334">
        <v>9</v>
      </c>
      <c r="K334" t="s">
        <v>29</v>
      </c>
      <c r="L334" t="s">
        <v>45</v>
      </c>
      <c r="M334">
        <v>5</v>
      </c>
      <c r="N334" t="s">
        <v>21</v>
      </c>
      <c r="O334">
        <v>3</v>
      </c>
    </row>
    <row r="335" spans="1:15" x14ac:dyDescent="0.3">
      <c r="A335" t="s">
        <v>373</v>
      </c>
      <c r="B335">
        <v>48</v>
      </c>
      <c r="C335" t="s">
        <v>16</v>
      </c>
      <c r="D335" t="s">
        <v>17</v>
      </c>
      <c r="E335" t="s">
        <v>33</v>
      </c>
      <c r="F335" t="s">
        <v>36</v>
      </c>
      <c r="G335" t="s">
        <v>28</v>
      </c>
      <c r="H335">
        <v>25583</v>
      </c>
      <c r="I335">
        <v>14</v>
      </c>
      <c r="J335">
        <v>6</v>
      </c>
      <c r="K335" t="s">
        <v>29</v>
      </c>
      <c r="L335" t="s">
        <v>30</v>
      </c>
      <c r="M335">
        <v>64</v>
      </c>
      <c r="N335" t="s">
        <v>29</v>
      </c>
      <c r="O335">
        <v>1</v>
      </c>
    </row>
    <row r="336" spans="1:15" x14ac:dyDescent="0.3">
      <c r="A336" t="s">
        <v>374</v>
      </c>
      <c r="B336">
        <v>54</v>
      </c>
      <c r="C336" t="s">
        <v>24</v>
      </c>
      <c r="D336" t="s">
        <v>32</v>
      </c>
      <c r="E336" t="s">
        <v>18</v>
      </c>
      <c r="F336" t="s">
        <v>36</v>
      </c>
      <c r="G336" t="s">
        <v>28</v>
      </c>
      <c r="H336">
        <v>24897</v>
      </c>
      <c r="I336">
        <v>17</v>
      </c>
      <c r="J336">
        <v>8</v>
      </c>
      <c r="K336" t="s">
        <v>21</v>
      </c>
      <c r="L336" t="s">
        <v>45</v>
      </c>
      <c r="M336">
        <v>16</v>
      </c>
      <c r="N336" t="s">
        <v>21</v>
      </c>
      <c r="O336">
        <v>2</v>
      </c>
    </row>
    <row r="337" spans="1:15" x14ac:dyDescent="0.3">
      <c r="A337" t="s">
        <v>375</v>
      </c>
      <c r="B337">
        <v>22</v>
      </c>
      <c r="C337" t="s">
        <v>24</v>
      </c>
      <c r="D337" t="s">
        <v>35</v>
      </c>
      <c r="E337" t="s">
        <v>50</v>
      </c>
      <c r="F337" t="s">
        <v>27</v>
      </c>
      <c r="G337" t="s">
        <v>20</v>
      </c>
      <c r="H337">
        <v>91537</v>
      </c>
      <c r="I337">
        <v>0</v>
      </c>
      <c r="J337">
        <v>6</v>
      </c>
      <c r="K337" t="s">
        <v>21</v>
      </c>
      <c r="L337" t="s">
        <v>45</v>
      </c>
      <c r="M337">
        <v>25</v>
      </c>
      <c r="N337" t="s">
        <v>21</v>
      </c>
      <c r="O337">
        <v>1</v>
      </c>
    </row>
    <row r="338" spans="1:15" x14ac:dyDescent="0.3">
      <c r="A338" t="s">
        <v>376</v>
      </c>
      <c r="B338">
        <v>52</v>
      </c>
      <c r="C338" t="s">
        <v>16</v>
      </c>
      <c r="D338" t="s">
        <v>40</v>
      </c>
      <c r="E338" t="s">
        <v>41</v>
      </c>
      <c r="F338" t="s">
        <v>19</v>
      </c>
      <c r="G338" t="s">
        <v>20</v>
      </c>
      <c r="H338">
        <v>24567</v>
      </c>
      <c r="I338">
        <v>2</v>
      </c>
      <c r="J338">
        <v>2</v>
      </c>
      <c r="K338" t="s">
        <v>29</v>
      </c>
      <c r="L338" t="s">
        <v>47</v>
      </c>
      <c r="M338">
        <v>15</v>
      </c>
      <c r="N338" t="s">
        <v>21</v>
      </c>
      <c r="O338">
        <v>2</v>
      </c>
    </row>
    <row r="339" spans="1:15" x14ac:dyDescent="0.3">
      <c r="A339" t="s">
        <v>377</v>
      </c>
      <c r="B339">
        <v>43</v>
      </c>
      <c r="C339" t="s">
        <v>24</v>
      </c>
      <c r="D339" t="s">
        <v>40</v>
      </c>
      <c r="E339" t="s">
        <v>18</v>
      </c>
      <c r="F339" t="s">
        <v>19</v>
      </c>
      <c r="G339" t="s">
        <v>28</v>
      </c>
      <c r="H339">
        <v>94807</v>
      </c>
      <c r="I339">
        <v>2</v>
      </c>
      <c r="J339">
        <v>5</v>
      </c>
      <c r="K339" t="s">
        <v>21</v>
      </c>
      <c r="L339" t="s">
        <v>22</v>
      </c>
      <c r="M339">
        <v>48</v>
      </c>
      <c r="N339" t="s">
        <v>29</v>
      </c>
      <c r="O339">
        <v>3</v>
      </c>
    </row>
    <row r="340" spans="1:15" x14ac:dyDescent="0.3">
      <c r="A340" t="s">
        <v>378</v>
      </c>
      <c r="B340">
        <v>42</v>
      </c>
      <c r="C340" t="s">
        <v>24</v>
      </c>
      <c r="D340" t="s">
        <v>40</v>
      </c>
      <c r="E340" t="s">
        <v>26</v>
      </c>
      <c r="F340" t="s">
        <v>19</v>
      </c>
      <c r="G340" t="s">
        <v>28</v>
      </c>
      <c r="H340">
        <v>97239</v>
      </c>
      <c r="I340">
        <v>6</v>
      </c>
      <c r="J340">
        <v>6</v>
      </c>
      <c r="K340" t="s">
        <v>21</v>
      </c>
      <c r="L340" t="s">
        <v>47</v>
      </c>
      <c r="M340">
        <v>62</v>
      </c>
      <c r="N340" t="s">
        <v>21</v>
      </c>
      <c r="O340">
        <v>5</v>
      </c>
    </row>
    <row r="341" spans="1:15" x14ac:dyDescent="0.3">
      <c r="A341" t="s">
        <v>379</v>
      </c>
      <c r="B341">
        <v>45</v>
      </c>
      <c r="C341" t="s">
        <v>16</v>
      </c>
      <c r="D341" t="s">
        <v>17</v>
      </c>
      <c r="E341" t="s">
        <v>33</v>
      </c>
      <c r="F341" t="s">
        <v>27</v>
      </c>
      <c r="G341" t="s">
        <v>20</v>
      </c>
      <c r="H341">
        <v>33329</v>
      </c>
      <c r="I341">
        <v>0</v>
      </c>
      <c r="J341">
        <v>1</v>
      </c>
      <c r="K341" t="s">
        <v>21</v>
      </c>
      <c r="L341" t="s">
        <v>22</v>
      </c>
      <c r="M341">
        <v>48</v>
      </c>
      <c r="N341" t="s">
        <v>21</v>
      </c>
      <c r="O341">
        <v>4</v>
      </c>
    </row>
    <row r="342" spans="1:15" x14ac:dyDescent="0.3">
      <c r="A342" t="s">
        <v>380</v>
      </c>
      <c r="B342">
        <v>42</v>
      </c>
      <c r="C342" t="s">
        <v>16</v>
      </c>
      <c r="D342" t="s">
        <v>17</v>
      </c>
      <c r="E342" t="s">
        <v>26</v>
      </c>
      <c r="F342" t="s">
        <v>36</v>
      </c>
      <c r="G342" t="s">
        <v>28</v>
      </c>
      <c r="H342">
        <v>91792</v>
      </c>
      <c r="I342">
        <v>10</v>
      </c>
      <c r="J342">
        <v>2</v>
      </c>
      <c r="K342" t="s">
        <v>29</v>
      </c>
      <c r="L342" t="s">
        <v>47</v>
      </c>
      <c r="M342">
        <v>82</v>
      </c>
      <c r="N342" t="s">
        <v>21</v>
      </c>
      <c r="O342">
        <v>3</v>
      </c>
    </row>
    <row r="343" spans="1:15" x14ac:dyDescent="0.3">
      <c r="A343" t="s">
        <v>381</v>
      </c>
      <c r="B343">
        <v>42</v>
      </c>
      <c r="C343" t="s">
        <v>16</v>
      </c>
      <c r="D343" t="s">
        <v>44</v>
      </c>
      <c r="E343" t="s">
        <v>41</v>
      </c>
      <c r="F343" t="s">
        <v>19</v>
      </c>
      <c r="G343" t="s">
        <v>20</v>
      </c>
      <c r="H343">
        <v>20228</v>
      </c>
      <c r="I343">
        <v>5</v>
      </c>
      <c r="J343">
        <v>3</v>
      </c>
      <c r="K343" t="s">
        <v>29</v>
      </c>
      <c r="L343" t="s">
        <v>30</v>
      </c>
      <c r="M343">
        <v>38</v>
      </c>
      <c r="N343" t="s">
        <v>29</v>
      </c>
      <c r="O343">
        <v>2</v>
      </c>
    </row>
    <row r="344" spans="1:15" x14ac:dyDescent="0.3">
      <c r="A344" t="s">
        <v>382</v>
      </c>
      <c r="B344">
        <v>26</v>
      </c>
      <c r="C344" t="s">
        <v>16</v>
      </c>
      <c r="D344" t="s">
        <v>40</v>
      </c>
      <c r="E344" t="s">
        <v>18</v>
      </c>
      <c r="F344" t="s">
        <v>19</v>
      </c>
      <c r="G344" t="s">
        <v>28</v>
      </c>
      <c r="H344">
        <v>110282</v>
      </c>
      <c r="I344">
        <v>19</v>
      </c>
      <c r="J344">
        <v>9</v>
      </c>
      <c r="K344" t="s">
        <v>21</v>
      </c>
      <c r="L344" t="s">
        <v>45</v>
      </c>
      <c r="M344">
        <v>29</v>
      </c>
      <c r="N344" t="s">
        <v>21</v>
      </c>
      <c r="O344">
        <v>1</v>
      </c>
    </row>
    <row r="345" spans="1:15" x14ac:dyDescent="0.3">
      <c r="A345" t="s">
        <v>383</v>
      </c>
      <c r="B345">
        <v>35</v>
      </c>
      <c r="C345" t="s">
        <v>24</v>
      </c>
      <c r="D345" t="s">
        <v>35</v>
      </c>
      <c r="E345" t="s">
        <v>41</v>
      </c>
      <c r="F345" t="s">
        <v>38</v>
      </c>
      <c r="G345" t="s">
        <v>28</v>
      </c>
      <c r="H345">
        <v>102214</v>
      </c>
      <c r="I345">
        <v>2</v>
      </c>
      <c r="J345">
        <v>5</v>
      </c>
      <c r="K345" t="s">
        <v>21</v>
      </c>
      <c r="L345" t="s">
        <v>22</v>
      </c>
      <c r="M345">
        <v>8</v>
      </c>
      <c r="N345" t="s">
        <v>29</v>
      </c>
      <c r="O345">
        <v>3</v>
      </c>
    </row>
    <row r="346" spans="1:15" x14ac:dyDescent="0.3">
      <c r="A346" t="s">
        <v>384</v>
      </c>
      <c r="B346">
        <v>57</v>
      </c>
      <c r="C346" t="s">
        <v>24</v>
      </c>
      <c r="D346" t="s">
        <v>32</v>
      </c>
      <c r="E346" t="s">
        <v>18</v>
      </c>
      <c r="F346" t="s">
        <v>19</v>
      </c>
      <c r="G346" t="s">
        <v>20</v>
      </c>
      <c r="H346">
        <v>57052</v>
      </c>
      <c r="I346">
        <v>18</v>
      </c>
      <c r="J346">
        <v>0</v>
      </c>
      <c r="K346" t="s">
        <v>21</v>
      </c>
      <c r="L346" t="s">
        <v>30</v>
      </c>
      <c r="M346">
        <v>68</v>
      </c>
      <c r="N346" t="s">
        <v>29</v>
      </c>
      <c r="O346">
        <v>5</v>
      </c>
    </row>
    <row r="347" spans="1:15" x14ac:dyDescent="0.3">
      <c r="A347" t="s">
        <v>385</v>
      </c>
      <c r="B347">
        <v>53</v>
      </c>
      <c r="C347" t="s">
        <v>16</v>
      </c>
      <c r="D347" t="s">
        <v>35</v>
      </c>
      <c r="E347" t="s">
        <v>50</v>
      </c>
      <c r="F347" t="s">
        <v>36</v>
      </c>
      <c r="G347" t="s">
        <v>20</v>
      </c>
      <c r="H347">
        <v>77769</v>
      </c>
      <c r="I347">
        <v>1</v>
      </c>
      <c r="J347">
        <v>8</v>
      </c>
      <c r="K347" t="s">
        <v>29</v>
      </c>
      <c r="L347" t="s">
        <v>45</v>
      </c>
      <c r="M347">
        <v>94</v>
      </c>
      <c r="N347" t="s">
        <v>29</v>
      </c>
      <c r="O347">
        <v>2</v>
      </c>
    </row>
    <row r="348" spans="1:15" x14ac:dyDescent="0.3">
      <c r="A348" t="s">
        <v>386</v>
      </c>
      <c r="B348">
        <v>28</v>
      </c>
      <c r="C348" t="s">
        <v>24</v>
      </c>
      <c r="D348" t="s">
        <v>32</v>
      </c>
      <c r="E348" t="s">
        <v>33</v>
      </c>
      <c r="F348" t="s">
        <v>36</v>
      </c>
      <c r="G348" t="s">
        <v>20</v>
      </c>
      <c r="H348">
        <v>66032</v>
      </c>
      <c r="I348">
        <v>17</v>
      </c>
      <c r="J348">
        <v>4</v>
      </c>
      <c r="K348" t="s">
        <v>21</v>
      </c>
      <c r="L348" t="s">
        <v>45</v>
      </c>
      <c r="M348">
        <v>20</v>
      </c>
      <c r="N348" t="s">
        <v>21</v>
      </c>
      <c r="O348">
        <v>1</v>
      </c>
    </row>
    <row r="349" spans="1:15" x14ac:dyDescent="0.3">
      <c r="A349" t="s">
        <v>387</v>
      </c>
      <c r="B349">
        <v>25</v>
      </c>
      <c r="C349" t="s">
        <v>16</v>
      </c>
      <c r="D349" t="s">
        <v>40</v>
      </c>
      <c r="E349" t="s">
        <v>50</v>
      </c>
      <c r="F349" t="s">
        <v>38</v>
      </c>
      <c r="G349" t="s">
        <v>28</v>
      </c>
      <c r="H349">
        <v>108721</v>
      </c>
      <c r="I349">
        <v>11</v>
      </c>
      <c r="J349">
        <v>6</v>
      </c>
      <c r="K349" t="s">
        <v>21</v>
      </c>
      <c r="L349" t="s">
        <v>45</v>
      </c>
      <c r="M349">
        <v>14</v>
      </c>
      <c r="N349" t="s">
        <v>21</v>
      </c>
      <c r="O349">
        <v>4</v>
      </c>
    </row>
    <row r="350" spans="1:15" x14ac:dyDescent="0.3">
      <c r="A350" t="s">
        <v>388</v>
      </c>
      <c r="B350">
        <v>59</v>
      </c>
      <c r="C350" t="s">
        <v>16</v>
      </c>
      <c r="D350" t="s">
        <v>40</v>
      </c>
      <c r="E350" t="s">
        <v>50</v>
      </c>
      <c r="F350" t="s">
        <v>19</v>
      </c>
      <c r="G350" t="s">
        <v>28</v>
      </c>
      <c r="H350">
        <v>53686</v>
      </c>
      <c r="I350">
        <v>9</v>
      </c>
      <c r="J350">
        <v>8</v>
      </c>
      <c r="K350" t="s">
        <v>29</v>
      </c>
      <c r="L350" t="s">
        <v>47</v>
      </c>
      <c r="M350">
        <v>70</v>
      </c>
      <c r="N350" t="s">
        <v>29</v>
      </c>
      <c r="O350">
        <v>2</v>
      </c>
    </row>
    <row r="351" spans="1:15" x14ac:dyDescent="0.3">
      <c r="A351" t="s">
        <v>389</v>
      </c>
      <c r="B351">
        <v>24</v>
      </c>
      <c r="C351" t="s">
        <v>24</v>
      </c>
      <c r="D351" t="s">
        <v>40</v>
      </c>
      <c r="E351" t="s">
        <v>41</v>
      </c>
      <c r="F351" t="s">
        <v>19</v>
      </c>
      <c r="G351" t="s">
        <v>28</v>
      </c>
      <c r="H351">
        <v>96981</v>
      </c>
      <c r="I351">
        <v>4</v>
      </c>
      <c r="J351">
        <v>8</v>
      </c>
      <c r="K351" t="s">
        <v>21</v>
      </c>
      <c r="L351" t="s">
        <v>30</v>
      </c>
      <c r="M351">
        <v>39</v>
      </c>
      <c r="N351" t="s">
        <v>21</v>
      </c>
      <c r="O351">
        <v>1</v>
      </c>
    </row>
    <row r="352" spans="1:15" x14ac:dyDescent="0.3">
      <c r="A352" t="s">
        <v>390</v>
      </c>
      <c r="B352">
        <v>26</v>
      </c>
      <c r="C352" t="s">
        <v>16</v>
      </c>
      <c r="D352" t="s">
        <v>17</v>
      </c>
      <c r="E352" t="s">
        <v>33</v>
      </c>
      <c r="F352" t="s">
        <v>19</v>
      </c>
      <c r="G352" t="s">
        <v>28</v>
      </c>
      <c r="H352">
        <v>118802</v>
      </c>
      <c r="I352">
        <v>8</v>
      </c>
      <c r="J352">
        <v>0</v>
      </c>
      <c r="K352" t="s">
        <v>29</v>
      </c>
      <c r="L352" t="s">
        <v>30</v>
      </c>
      <c r="M352">
        <v>87</v>
      </c>
      <c r="N352" t="s">
        <v>21</v>
      </c>
      <c r="O352">
        <v>4</v>
      </c>
    </row>
    <row r="353" spans="1:15" x14ac:dyDescent="0.3">
      <c r="A353" t="s">
        <v>391</v>
      </c>
      <c r="B353">
        <v>52</v>
      </c>
      <c r="C353" t="s">
        <v>24</v>
      </c>
      <c r="D353" t="s">
        <v>32</v>
      </c>
      <c r="E353" t="s">
        <v>18</v>
      </c>
      <c r="F353" t="s">
        <v>27</v>
      </c>
      <c r="G353" t="s">
        <v>20</v>
      </c>
      <c r="H353">
        <v>83261</v>
      </c>
      <c r="I353">
        <v>1</v>
      </c>
      <c r="J353">
        <v>0</v>
      </c>
      <c r="K353" t="s">
        <v>29</v>
      </c>
      <c r="L353" t="s">
        <v>45</v>
      </c>
      <c r="M353">
        <v>10</v>
      </c>
      <c r="N353" t="s">
        <v>29</v>
      </c>
      <c r="O353">
        <v>1</v>
      </c>
    </row>
    <row r="354" spans="1:15" x14ac:dyDescent="0.3">
      <c r="A354" t="s">
        <v>392</v>
      </c>
      <c r="B354">
        <v>50</v>
      </c>
      <c r="C354" t="s">
        <v>24</v>
      </c>
      <c r="D354" t="s">
        <v>17</v>
      </c>
      <c r="E354" t="s">
        <v>18</v>
      </c>
      <c r="F354" t="s">
        <v>19</v>
      </c>
      <c r="G354" t="s">
        <v>28</v>
      </c>
      <c r="H354">
        <v>22809</v>
      </c>
      <c r="I354">
        <v>1</v>
      </c>
      <c r="J354">
        <v>2</v>
      </c>
      <c r="K354" t="s">
        <v>29</v>
      </c>
      <c r="L354" t="s">
        <v>22</v>
      </c>
      <c r="M354">
        <v>23</v>
      </c>
      <c r="N354" t="s">
        <v>29</v>
      </c>
      <c r="O354">
        <v>4</v>
      </c>
    </row>
    <row r="355" spans="1:15" x14ac:dyDescent="0.3">
      <c r="A355" t="s">
        <v>393</v>
      </c>
      <c r="B355">
        <v>55</v>
      </c>
      <c r="C355" t="s">
        <v>24</v>
      </c>
      <c r="D355" t="s">
        <v>17</v>
      </c>
      <c r="E355" t="s">
        <v>26</v>
      </c>
      <c r="F355" t="s">
        <v>36</v>
      </c>
      <c r="G355" t="s">
        <v>28</v>
      </c>
      <c r="H355">
        <v>61785</v>
      </c>
      <c r="I355">
        <v>5</v>
      </c>
      <c r="J355">
        <v>5</v>
      </c>
      <c r="K355" t="s">
        <v>21</v>
      </c>
      <c r="L355" t="s">
        <v>30</v>
      </c>
      <c r="M355">
        <v>63</v>
      </c>
      <c r="N355" t="s">
        <v>21</v>
      </c>
      <c r="O355">
        <v>4</v>
      </c>
    </row>
    <row r="356" spans="1:15" x14ac:dyDescent="0.3">
      <c r="A356" t="s">
        <v>394</v>
      </c>
      <c r="B356">
        <v>36</v>
      </c>
      <c r="C356" t="s">
        <v>24</v>
      </c>
      <c r="D356" t="s">
        <v>25</v>
      </c>
      <c r="E356" t="s">
        <v>18</v>
      </c>
      <c r="F356" t="s">
        <v>36</v>
      </c>
      <c r="G356" t="s">
        <v>28</v>
      </c>
      <c r="H356">
        <v>56547</v>
      </c>
      <c r="I356">
        <v>9</v>
      </c>
      <c r="J356">
        <v>1</v>
      </c>
      <c r="K356" t="s">
        <v>21</v>
      </c>
      <c r="L356" t="s">
        <v>47</v>
      </c>
      <c r="M356">
        <v>57</v>
      </c>
      <c r="N356" t="s">
        <v>29</v>
      </c>
      <c r="O356">
        <v>4</v>
      </c>
    </row>
    <row r="357" spans="1:15" x14ac:dyDescent="0.3">
      <c r="A357" t="s">
        <v>395</v>
      </c>
      <c r="B357">
        <v>33</v>
      </c>
      <c r="C357" t="s">
        <v>16</v>
      </c>
      <c r="D357" t="s">
        <v>35</v>
      </c>
      <c r="E357" t="s">
        <v>41</v>
      </c>
      <c r="F357" t="s">
        <v>27</v>
      </c>
      <c r="G357" t="s">
        <v>20</v>
      </c>
      <c r="H357">
        <v>62818</v>
      </c>
      <c r="I357">
        <v>17</v>
      </c>
      <c r="J357">
        <v>9</v>
      </c>
      <c r="K357" t="s">
        <v>29</v>
      </c>
      <c r="L357" t="s">
        <v>22</v>
      </c>
      <c r="M357">
        <v>12</v>
      </c>
      <c r="N357" t="s">
        <v>21</v>
      </c>
      <c r="O357">
        <v>1</v>
      </c>
    </row>
    <row r="358" spans="1:15" x14ac:dyDescent="0.3">
      <c r="A358" t="s">
        <v>396</v>
      </c>
      <c r="B358">
        <v>50</v>
      </c>
      <c r="C358" t="s">
        <v>24</v>
      </c>
      <c r="D358" t="s">
        <v>35</v>
      </c>
      <c r="E358" t="s">
        <v>50</v>
      </c>
      <c r="F358" t="s">
        <v>27</v>
      </c>
      <c r="G358" t="s">
        <v>28</v>
      </c>
      <c r="H358">
        <v>91927</v>
      </c>
      <c r="I358">
        <v>11</v>
      </c>
      <c r="J358">
        <v>0</v>
      </c>
      <c r="K358" t="s">
        <v>21</v>
      </c>
      <c r="L358" t="s">
        <v>22</v>
      </c>
      <c r="M358">
        <v>82</v>
      </c>
      <c r="N358" t="s">
        <v>29</v>
      </c>
      <c r="O358">
        <v>4</v>
      </c>
    </row>
    <row r="359" spans="1:15" x14ac:dyDescent="0.3">
      <c r="A359" t="s">
        <v>397</v>
      </c>
      <c r="B359">
        <v>39</v>
      </c>
      <c r="C359" t="s">
        <v>16</v>
      </c>
      <c r="D359" t="s">
        <v>44</v>
      </c>
      <c r="E359" t="s">
        <v>50</v>
      </c>
      <c r="F359" t="s">
        <v>19</v>
      </c>
      <c r="G359" t="s">
        <v>28</v>
      </c>
      <c r="H359">
        <v>85681</v>
      </c>
      <c r="I359">
        <v>3</v>
      </c>
      <c r="J359">
        <v>0</v>
      </c>
      <c r="K359" t="s">
        <v>29</v>
      </c>
      <c r="L359" t="s">
        <v>22</v>
      </c>
      <c r="M359">
        <v>14</v>
      </c>
      <c r="N359" t="s">
        <v>21</v>
      </c>
      <c r="O359">
        <v>2</v>
      </c>
    </row>
    <row r="360" spans="1:15" x14ac:dyDescent="0.3">
      <c r="A360" t="s">
        <v>398</v>
      </c>
      <c r="B360">
        <v>37</v>
      </c>
      <c r="C360" t="s">
        <v>16</v>
      </c>
      <c r="D360" t="s">
        <v>17</v>
      </c>
      <c r="E360" t="s">
        <v>50</v>
      </c>
      <c r="F360" t="s">
        <v>38</v>
      </c>
      <c r="G360" t="s">
        <v>20</v>
      </c>
      <c r="H360">
        <v>99465</v>
      </c>
      <c r="I360">
        <v>16</v>
      </c>
      <c r="J360">
        <v>4</v>
      </c>
      <c r="K360" t="s">
        <v>21</v>
      </c>
      <c r="L360" t="s">
        <v>22</v>
      </c>
      <c r="M360">
        <v>71</v>
      </c>
      <c r="N360" t="s">
        <v>21</v>
      </c>
      <c r="O360">
        <v>5</v>
      </c>
    </row>
    <row r="361" spans="1:15" x14ac:dyDescent="0.3">
      <c r="A361" t="s">
        <v>399</v>
      </c>
      <c r="B361">
        <v>39</v>
      </c>
      <c r="C361" t="s">
        <v>16</v>
      </c>
      <c r="D361" t="s">
        <v>32</v>
      </c>
      <c r="E361" t="s">
        <v>33</v>
      </c>
      <c r="F361" t="s">
        <v>27</v>
      </c>
      <c r="G361" t="s">
        <v>28</v>
      </c>
      <c r="H361">
        <v>109862</v>
      </c>
      <c r="I361">
        <v>14</v>
      </c>
      <c r="J361">
        <v>3</v>
      </c>
      <c r="K361" t="s">
        <v>29</v>
      </c>
      <c r="L361" t="s">
        <v>30</v>
      </c>
      <c r="M361">
        <v>42</v>
      </c>
      <c r="N361" t="s">
        <v>29</v>
      </c>
      <c r="O361">
        <v>5</v>
      </c>
    </row>
    <row r="362" spans="1:15" x14ac:dyDescent="0.3">
      <c r="A362" t="s">
        <v>400</v>
      </c>
      <c r="B362">
        <v>48</v>
      </c>
      <c r="C362" t="s">
        <v>16</v>
      </c>
      <c r="D362" t="s">
        <v>25</v>
      </c>
      <c r="E362" t="s">
        <v>18</v>
      </c>
      <c r="F362" t="s">
        <v>27</v>
      </c>
      <c r="G362" t="s">
        <v>28</v>
      </c>
      <c r="H362">
        <v>115527</v>
      </c>
      <c r="I362">
        <v>5</v>
      </c>
      <c r="J362">
        <v>0</v>
      </c>
      <c r="K362" t="s">
        <v>29</v>
      </c>
      <c r="L362" t="s">
        <v>45</v>
      </c>
      <c r="M362">
        <v>33</v>
      </c>
      <c r="N362" t="s">
        <v>21</v>
      </c>
      <c r="O362">
        <v>4</v>
      </c>
    </row>
    <row r="363" spans="1:15" x14ac:dyDescent="0.3">
      <c r="A363" t="s">
        <v>401</v>
      </c>
      <c r="B363">
        <v>46</v>
      </c>
      <c r="C363" t="s">
        <v>24</v>
      </c>
      <c r="D363" t="s">
        <v>25</v>
      </c>
      <c r="E363" t="s">
        <v>41</v>
      </c>
      <c r="F363" t="s">
        <v>19</v>
      </c>
      <c r="G363" t="s">
        <v>20</v>
      </c>
      <c r="H363">
        <v>57333</v>
      </c>
      <c r="I363">
        <v>15</v>
      </c>
      <c r="J363">
        <v>3</v>
      </c>
      <c r="K363" t="s">
        <v>21</v>
      </c>
      <c r="L363" t="s">
        <v>22</v>
      </c>
      <c r="M363">
        <v>19</v>
      </c>
      <c r="N363" t="s">
        <v>21</v>
      </c>
      <c r="O363">
        <v>5</v>
      </c>
    </row>
    <row r="364" spans="1:15" x14ac:dyDescent="0.3">
      <c r="A364" t="s">
        <v>402</v>
      </c>
      <c r="B364">
        <v>57</v>
      </c>
      <c r="C364" t="s">
        <v>24</v>
      </c>
      <c r="D364" t="s">
        <v>35</v>
      </c>
      <c r="E364" t="s">
        <v>33</v>
      </c>
      <c r="F364" t="s">
        <v>19</v>
      </c>
      <c r="G364" t="s">
        <v>28</v>
      </c>
      <c r="H364">
        <v>36576</v>
      </c>
      <c r="I364">
        <v>16</v>
      </c>
      <c r="J364">
        <v>2</v>
      </c>
      <c r="K364" t="s">
        <v>21</v>
      </c>
      <c r="L364" t="s">
        <v>47</v>
      </c>
      <c r="M364">
        <v>91</v>
      </c>
      <c r="N364" t="s">
        <v>29</v>
      </c>
      <c r="O364">
        <v>5</v>
      </c>
    </row>
    <row r="365" spans="1:15" x14ac:dyDescent="0.3">
      <c r="A365" t="s">
        <v>403</v>
      </c>
      <c r="B365">
        <v>46</v>
      </c>
      <c r="C365" t="s">
        <v>16</v>
      </c>
      <c r="D365" t="s">
        <v>17</v>
      </c>
      <c r="E365" t="s">
        <v>26</v>
      </c>
      <c r="F365" t="s">
        <v>27</v>
      </c>
      <c r="G365" t="s">
        <v>28</v>
      </c>
      <c r="H365">
        <v>59405</v>
      </c>
      <c r="I365">
        <v>2</v>
      </c>
      <c r="J365">
        <v>1</v>
      </c>
      <c r="K365" t="s">
        <v>21</v>
      </c>
      <c r="L365" t="s">
        <v>47</v>
      </c>
      <c r="M365">
        <v>27</v>
      </c>
      <c r="N365" t="s">
        <v>21</v>
      </c>
      <c r="O365">
        <v>4</v>
      </c>
    </row>
    <row r="366" spans="1:15" x14ac:dyDescent="0.3">
      <c r="A366" t="s">
        <v>404</v>
      </c>
      <c r="B366">
        <v>43</v>
      </c>
      <c r="C366" t="s">
        <v>16</v>
      </c>
      <c r="D366" t="s">
        <v>44</v>
      </c>
      <c r="E366" t="s">
        <v>41</v>
      </c>
      <c r="F366" t="s">
        <v>38</v>
      </c>
      <c r="G366" t="s">
        <v>28</v>
      </c>
      <c r="H366">
        <v>114000</v>
      </c>
      <c r="I366">
        <v>9</v>
      </c>
      <c r="J366">
        <v>8</v>
      </c>
      <c r="K366" t="s">
        <v>21</v>
      </c>
      <c r="L366" t="s">
        <v>45</v>
      </c>
      <c r="M366">
        <v>86</v>
      </c>
      <c r="N366" t="s">
        <v>21</v>
      </c>
      <c r="O366">
        <v>4</v>
      </c>
    </row>
    <row r="367" spans="1:15" x14ac:dyDescent="0.3">
      <c r="A367" t="s">
        <v>405</v>
      </c>
      <c r="B367">
        <v>29</v>
      </c>
      <c r="C367" t="s">
        <v>24</v>
      </c>
      <c r="D367" t="s">
        <v>17</v>
      </c>
      <c r="E367" t="s">
        <v>41</v>
      </c>
      <c r="F367" t="s">
        <v>27</v>
      </c>
      <c r="G367" t="s">
        <v>20</v>
      </c>
      <c r="H367">
        <v>93779</v>
      </c>
      <c r="I367">
        <v>4</v>
      </c>
      <c r="J367">
        <v>0</v>
      </c>
      <c r="K367" t="s">
        <v>29</v>
      </c>
      <c r="L367" t="s">
        <v>30</v>
      </c>
      <c r="M367">
        <v>50</v>
      </c>
      <c r="N367" t="s">
        <v>21</v>
      </c>
      <c r="O367">
        <v>2</v>
      </c>
    </row>
    <row r="368" spans="1:15" x14ac:dyDescent="0.3">
      <c r="A368" t="s">
        <v>406</v>
      </c>
      <c r="B368">
        <v>32</v>
      </c>
      <c r="C368" t="s">
        <v>16</v>
      </c>
      <c r="D368" t="s">
        <v>40</v>
      </c>
      <c r="E368" t="s">
        <v>41</v>
      </c>
      <c r="F368" t="s">
        <v>19</v>
      </c>
      <c r="G368" t="s">
        <v>28</v>
      </c>
      <c r="H368">
        <v>51601</v>
      </c>
      <c r="I368">
        <v>13</v>
      </c>
      <c r="J368">
        <v>6</v>
      </c>
      <c r="K368" t="s">
        <v>29</v>
      </c>
      <c r="L368" t="s">
        <v>45</v>
      </c>
      <c r="M368">
        <v>87</v>
      </c>
      <c r="N368" t="s">
        <v>29</v>
      </c>
      <c r="O368">
        <v>3</v>
      </c>
    </row>
    <row r="369" spans="1:15" x14ac:dyDescent="0.3">
      <c r="A369" t="s">
        <v>407</v>
      </c>
      <c r="B369">
        <v>21</v>
      </c>
      <c r="C369" t="s">
        <v>24</v>
      </c>
      <c r="D369" t="s">
        <v>17</v>
      </c>
      <c r="E369" t="s">
        <v>50</v>
      </c>
      <c r="F369" t="s">
        <v>19</v>
      </c>
      <c r="G369" t="s">
        <v>28</v>
      </c>
      <c r="H369">
        <v>87946</v>
      </c>
      <c r="I369">
        <v>12</v>
      </c>
      <c r="J369">
        <v>3</v>
      </c>
      <c r="K369" t="s">
        <v>21</v>
      </c>
      <c r="L369" t="s">
        <v>22</v>
      </c>
      <c r="M369">
        <v>32</v>
      </c>
      <c r="N369" t="s">
        <v>29</v>
      </c>
      <c r="O369">
        <v>1</v>
      </c>
    </row>
    <row r="370" spans="1:15" x14ac:dyDescent="0.3">
      <c r="A370" t="s">
        <v>408</v>
      </c>
      <c r="B370">
        <v>21</v>
      </c>
      <c r="C370" t="s">
        <v>16</v>
      </c>
      <c r="D370" t="s">
        <v>40</v>
      </c>
      <c r="E370" t="s">
        <v>41</v>
      </c>
      <c r="F370" t="s">
        <v>27</v>
      </c>
      <c r="G370" t="s">
        <v>20</v>
      </c>
      <c r="H370">
        <v>87356</v>
      </c>
      <c r="I370">
        <v>5</v>
      </c>
      <c r="J370">
        <v>4</v>
      </c>
      <c r="K370" t="s">
        <v>21</v>
      </c>
      <c r="L370" t="s">
        <v>30</v>
      </c>
      <c r="M370">
        <v>30</v>
      </c>
      <c r="N370" t="s">
        <v>29</v>
      </c>
      <c r="O370">
        <v>4</v>
      </c>
    </row>
    <row r="371" spans="1:15" x14ac:dyDescent="0.3">
      <c r="A371" t="s">
        <v>409</v>
      </c>
      <c r="B371">
        <v>54</v>
      </c>
      <c r="C371" t="s">
        <v>24</v>
      </c>
      <c r="D371" t="s">
        <v>40</v>
      </c>
      <c r="E371" t="s">
        <v>18</v>
      </c>
      <c r="F371" t="s">
        <v>38</v>
      </c>
      <c r="G371" t="s">
        <v>20</v>
      </c>
      <c r="H371">
        <v>72116</v>
      </c>
      <c r="I371">
        <v>11</v>
      </c>
      <c r="J371">
        <v>9</v>
      </c>
      <c r="K371" t="s">
        <v>29</v>
      </c>
      <c r="L371" t="s">
        <v>30</v>
      </c>
      <c r="M371">
        <v>14</v>
      </c>
      <c r="N371" t="s">
        <v>29</v>
      </c>
      <c r="O371">
        <v>4</v>
      </c>
    </row>
    <row r="372" spans="1:15" x14ac:dyDescent="0.3">
      <c r="A372" t="s">
        <v>410</v>
      </c>
      <c r="B372">
        <v>52</v>
      </c>
      <c r="C372" t="s">
        <v>16</v>
      </c>
      <c r="D372" t="s">
        <v>44</v>
      </c>
      <c r="E372" t="s">
        <v>41</v>
      </c>
      <c r="F372" t="s">
        <v>27</v>
      </c>
      <c r="G372" t="s">
        <v>28</v>
      </c>
      <c r="H372">
        <v>82894</v>
      </c>
      <c r="I372">
        <v>7</v>
      </c>
      <c r="J372">
        <v>4</v>
      </c>
      <c r="K372" t="s">
        <v>21</v>
      </c>
      <c r="L372" t="s">
        <v>22</v>
      </c>
      <c r="M372">
        <v>51</v>
      </c>
      <c r="N372" t="s">
        <v>29</v>
      </c>
      <c r="O372">
        <v>5</v>
      </c>
    </row>
    <row r="373" spans="1:15" x14ac:dyDescent="0.3">
      <c r="A373" t="s">
        <v>411</v>
      </c>
      <c r="B373">
        <v>45</v>
      </c>
      <c r="C373" t="s">
        <v>16</v>
      </c>
      <c r="D373" t="s">
        <v>32</v>
      </c>
      <c r="E373" t="s">
        <v>50</v>
      </c>
      <c r="F373" t="s">
        <v>27</v>
      </c>
      <c r="G373" t="s">
        <v>28</v>
      </c>
      <c r="H373">
        <v>54635</v>
      </c>
      <c r="I373">
        <v>4</v>
      </c>
      <c r="J373">
        <v>0</v>
      </c>
      <c r="K373" t="s">
        <v>21</v>
      </c>
      <c r="L373" t="s">
        <v>47</v>
      </c>
      <c r="M373">
        <v>8</v>
      </c>
      <c r="N373" t="s">
        <v>21</v>
      </c>
      <c r="O373">
        <v>2</v>
      </c>
    </row>
    <row r="374" spans="1:15" x14ac:dyDescent="0.3">
      <c r="A374" t="s">
        <v>412</v>
      </c>
      <c r="B374">
        <v>21</v>
      </c>
      <c r="C374" t="s">
        <v>24</v>
      </c>
      <c r="D374" t="s">
        <v>35</v>
      </c>
      <c r="E374" t="s">
        <v>41</v>
      </c>
      <c r="F374" t="s">
        <v>19</v>
      </c>
      <c r="G374" t="s">
        <v>28</v>
      </c>
      <c r="H374">
        <v>27465</v>
      </c>
      <c r="I374">
        <v>14</v>
      </c>
      <c r="J374">
        <v>5</v>
      </c>
      <c r="K374" t="s">
        <v>21</v>
      </c>
      <c r="L374" t="s">
        <v>22</v>
      </c>
      <c r="M374">
        <v>59</v>
      </c>
      <c r="N374" t="s">
        <v>21</v>
      </c>
      <c r="O374">
        <v>5</v>
      </c>
    </row>
    <row r="375" spans="1:15" x14ac:dyDescent="0.3">
      <c r="A375" t="s">
        <v>413</v>
      </c>
      <c r="B375">
        <v>36</v>
      </c>
      <c r="C375" t="s">
        <v>16</v>
      </c>
      <c r="D375" t="s">
        <v>17</v>
      </c>
      <c r="E375" t="s">
        <v>26</v>
      </c>
      <c r="F375" t="s">
        <v>38</v>
      </c>
      <c r="G375" t="s">
        <v>28</v>
      </c>
      <c r="H375">
        <v>76754</v>
      </c>
      <c r="I375">
        <v>15</v>
      </c>
      <c r="J375">
        <v>8</v>
      </c>
      <c r="K375" t="s">
        <v>21</v>
      </c>
      <c r="L375" t="s">
        <v>45</v>
      </c>
      <c r="M375">
        <v>70</v>
      </c>
      <c r="N375" t="s">
        <v>21</v>
      </c>
      <c r="O375">
        <v>4</v>
      </c>
    </row>
    <row r="376" spans="1:15" x14ac:dyDescent="0.3">
      <c r="A376" t="s">
        <v>414</v>
      </c>
      <c r="B376">
        <v>59</v>
      </c>
      <c r="C376" t="s">
        <v>16</v>
      </c>
      <c r="D376" t="s">
        <v>40</v>
      </c>
      <c r="E376" t="s">
        <v>26</v>
      </c>
      <c r="F376" t="s">
        <v>36</v>
      </c>
      <c r="G376" t="s">
        <v>20</v>
      </c>
      <c r="H376">
        <v>117975</v>
      </c>
      <c r="I376">
        <v>0</v>
      </c>
      <c r="J376">
        <v>1</v>
      </c>
      <c r="K376" t="s">
        <v>29</v>
      </c>
      <c r="L376" t="s">
        <v>22</v>
      </c>
      <c r="M376">
        <v>71</v>
      </c>
      <c r="N376" t="s">
        <v>29</v>
      </c>
      <c r="O376">
        <v>4</v>
      </c>
    </row>
    <row r="377" spans="1:15" x14ac:dyDescent="0.3">
      <c r="A377" t="s">
        <v>415</v>
      </c>
      <c r="B377">
        <v>25</v>
      </c>
      <c r="C377" t="s">
        <v>24</v>
      </c>
      <c r="D377" t="s">
        <v>17</v>
      </c>
      <c r="E377" t="s">
        <v>50</v>
      </c>
      <c r="F377" t="s">
        <v>38</v>
      </c>
      <c r="G377" t="s">
        <v>28</v>
      </c>
      <c r="H377">
        <v>112850</v>
      </c>
      <c r="I377">
        <v>15</v>
      </c>
      <c r="J377">
        <v>6</v>
      </c>
      <c r="K377" t="s">
        <v>29</v>
      </c>
      <c r="L377" t="s">
        <v>47</v>
      </c>
      <c r="M377">
        <v>11</v>
      </c>
      <c r="N377" t="s">
        <v>21</v>
      </c>
      <c r="O377">
        <v>5</v>
      </c>
    </row>
    <row r="378" spans="1:15" x14ac:dyDescent="0.3">
      <c r="A378" t="s">
        <v>416</v>
      </c>
      <c r="B378">
        <v>42</v>
      </c>
      <c r="C378" t="s">
        <v>16</v>
      </c>
      <c r="D378" t="s">
        <v>32</v>
      </c>
      <c r="E378" t="s">
        <v>18</v>
      </c>
      <c r="F378" t="s">
        <v>27</v>
      </c>
      <c r="G378" t="s">
        <v>20</v>
      </c>
      <c r="H378">
        <v>105119</v>
      </c>
      <c r="I378">
        <v>4</v>
      </c>
      <c r="J378">
        <v>5</v>
      </c>
      <c r="K378" t="s">
        <v>21</v>
      </c>
      <c r="L378" t="s">
        <v>22</v>
      </c>
      <c r="M378">
        <v>59</v>
      </c>
      <c r="N378" t="s">
        <v>29</v>
      </c>
      <c r="O378">
        <v>4</v>
      </c>
    </row>
    <row r="379" spans="1:15" x14ac:dyDescent="0.3">
      <c r="A379" t="s">
        <v>417</v>
      </c>
      <c r="B379">
        <v>49</v>
      </c>
      <c r="C379" t="s">
        <v>24</v>
      </c>
      <c r="D379" t="s">
        <v>35</v>
      </c>
      <c r="E379" t="s">
        <v>18</v>
      </c>
      <c r="F379" t="s">
        <v>27</v>
      </c>
      <c r="G379" t="s">
        <v>20</v>
      </c>
      <c r="H379">
        <v>112691</v>
      </c>
      <c r="I379">
        <v>2</v>
      </c>
      <c r="J379">
        <v>4</v>
      </c>
      <c r="K379" t="s">
        <v>29</v>
      </c>
      <c r="L379" t="s">
        <v>45</v>
      </c>
      <c r="M379">
        <v>84</v>
      </c>
      <c r="N379" t="s">
        <v>21</v>
      </c>
      <c r="O379">
        <v>3</v>
      </c>
    </row>
    <row r="380" spans="1:15" x14ac:dyDescent="0.3">
      <c r="A380" t="s">
        <v>418</v>
      </c>
      <c r="B380">
        <v>23</v>
      </c>
      <c r="C380" t="s">
        <v>24</v>
      </c>
      <c r="D380" t="s">
        <v>32</v>
      </c>
      <c r="E380" t="s">
        <v>33</v>
      </c>
      <c r="F380" t="s">
        <v>27</v>
      </c>
      <c r="G380" t="s">
        <v>28</v>
      </c>
      <c r="H380">
        <v>58871</v>
      </c>
      <c r="I380">
        <v>19</v>
      </c>
      <c r="J380">
        <v>3</v>
      </c>
      <c r="K380" t="s">
        <v>21</v>
      </c>
      <c r="L380" t="s">
        <v>45</v>
      </c>
      <c r="M380">
        <v>35</v>
      </c>
      <c r="N380" t="s">
        <v>29</v>
      </c>
      <c r="O380">
        <v>1</v>
      </c>
    </row>
    <row r="381" spans="1:15" x14ac:dyDescent="0.3">
      <c r="A381" t="s">
        <v>419</v>
      </c>
      <c r="B381">
        <v>32</v>
      </c>
      <c r="C381" t="s">
        <v>16</v>
      </c>
      <c r="D381" t="s">
        <v>35</v>
      </c>
      <c r="E381" t="s">
        <v>50</v>
      </c>
      <c r="F381" t="s">
        <v>38</v>
      </c>
      <c r="G381" t="s">
        <v>28</v>
      </c>
      <c r="H381">
        <v>82874</v>
      </c>
      <c r="I381">
        <v>14</v>
      </c>
      <c r="J381">
        <v>3</v>
      </c>
      <c r="K381" t="s">
        <v>21</v>
      </c>
      <c r="L381" t="s">
        <v>47</v>
      </c>
      <c r="M381">
        <v>78</v>
      </c>
      <c r="N381" t="s">
        <v>21</v>
      </c>
      <c r="O381">
        <v>1</v>
      </c>
    </row>
    <row r="382" spans="1:15" x14ac:dyDescent="0.3">
      <c r="A382" t="s">
        <v>420</v>
      </c>
      <c r="B382">
        <v>46</v>
      </c>
      <c r="C382" t="s">
        <v>16</v>
      </c>
      <c r="D382" t="s">
        <v>25</v>
      </c>
      <c r="E382" t="s">
        <v>41</v>
      </c>
      <c r="F382" t="s">
        <v>19</v>
      </c>
      <c r="G382" t="s">
        <v>20</v>
      </c>
      <c r="H382">
        <v>97733</v>
      </c>
      <c r="I382">
        <v>12</v>
      </c>
      <c r="J382">
        <v>5</v>
      </c>
      <c r="K382" t="s">
        <v>21</v>
      </c>
      <c r="L382" t="s">
        <v>45</v>
      </c>
      <c r="M382">
        <v>23</v>
      </c>
      <c r="N382" t="s">
        <v>21</v>
      </c>
      <c r="O382">
        <v>1</v>
      </c>
    </row>
    <row r="383" spans="1:15" x14ac:dyDescent="0.3">
      <c r="A383" t="s">
        <v>421</v>
      </c>
      <c r="B383">
        <v>36</v>
      </c>
      <c r="C383" t="s">
        <v>16</v>
      </c>
      <c r="D383" t="s">
        <v>35</v>
      </c>
      <c r="E383" t="s">
        <v>50</v>
      </c>
      <c r="F383" t="s">
        <v>27</v>
      </c>
      <c r="G383" t="s">
        <v>20</v>
      </c>
      <c r="H383">
        <v>49511</v>
      </c>
      <c r="I383">
        <v>15</v>
      </c>
      <c r="J383">
        <v>3</v>
      </c>
      <c r="K383" t="s">
        <v>29</v>
      </c>
      <c r="L383" t="s">
        <v>45</v>
      </c>
      <c r="M383">
        <v>32</v>
      </c>
      <c r="N383" t="s">
        <v>29</v>
      </c>
      <c r="O383">
        <v>3</v>
      </c>
    </row>
    <row r="384" spans="1:15" x14ac:dyDescent="0.3">
      <c r="A384" t="s">
        <v>422</v>
      </c>
      <c r="B384">
        <v>57</v>
      </c>
      <c r="C384" t="s">
        <v>16</v>
      </c>
      <c r="D384" t="s">
        <v>44</v>
      </c>
      <c r="E384" t="s">
        <v>33</v>
      </c>
      <c r="F384" t="s">
        <v>27</v>
      </c>
      <c r="G384" t="s">
        <v>28</v>
      </c>
      <c r="H384">
        <v>100960</v>
      </c>
      <c r="I384">
        <v>10</v>
      </c>
      <c r="J384">
        <v>4</v>
      </c>
      <c r="K384" t="s">
        <v>29</v>
      </c>
      <c r="L384" t="s">
        <v>22</v>
      </c>
      <c r="M384">
        <v>85</v>
      </c>
      <c r="N384" t="s">
        <v>21</v>
      </c>
      <c r="O384">
        <v>4</v>
      </c>
    </row>
    <row r="385" spans="1:15" x14ac:dyDescent="0.3">
      <c r="A385" t="s">
        <v>423</v>
      </c>
      <c r="B385">
        <v>42</v>
      </c>
      <c r="C385" t="s">
        <v>16</v>
      </c>
      <c r="D385" t="s">
        <v>32</v>
      </c>
      <c r="E385" t="s">
        <v>50</v>
      </c>
      <c r="F385" t="s">
        <v>38</v>
      </c>
      <c r="G385" t="s">
        <v>20</v>
      </c>
      <c r="H385">
        <v>68821</v>
      </c>
      <c r="I385">
        <v>1</v>
      </c>
      <c r="J385">
        <v>5</v>
      </c>
      <c r="K385" t="s">
        <v>29</v>
      </c>
      <c r="L385" t="s">
        <v>30</v>
      </c>
      <c r="M385">
        <v>32</v>
      </c>
      <c r="N385" t="s">
        <v>21</v>
      </c>
      <c r="O385">
        <v>5</v>
      </c>
    </row>
    <row r="386" spans="1:15" x14ac:dyDescent="0.3">
      <c r="A386" t="s">
        <v>424</v>
      </c>
      <c r="B386">
        <v>49</v>
      </c>
      <c r="C386" t="s">
        <v>16</v>
      </c>
      <c r="D386" t="s">
        <v>40</v>
      </c>
      <c r="E386" t="s">
        <v>50</v>
      </c>
      <c r="F386" t="s">
        <v>36</v>
      </c>
      <c r="G386" t="s">
        <v>28</v>
      </c>
      <c r="H386">
        <v>85776</v>
      </c>
      <c r="I386">
        <v>5</v>
      </c>
      <c r="J386">
        <v>4</v>
      </c>
      <c r="K386" t="s">
        <v>29</v>
      </c>
      <c r="L386" t="s">
        <v>45</v>
      </c>
      <c r="M386">
        <v>23</v>
      </c>
      <c r="N386" t="s">
        <v>29</v>
      </c>
      <c r="O386">
        <v>2</v>
      </c>
    </row>
    <row r="387" spans="1:15" x14ac:dyDescent="0.3">
      <c r="A387" t="s">
        <v>425</v>
      </c>
      <c r="B387">
        <v>34</v>
      </c>
      <c r="C387" t="s">
        <v>16</v>
      </c>
      <c r="D387" t="s">
        <v>25</v>
      </c>
      <c r="E387" t="s">
        <v>33</v>
      </c>
      <c r="F387" t="s">
        <v>36</v>
      </c>
      <c r="G387" t="s">
        <v>28</v>
      </c>
      <c r="H387">
        <v>90167</v>
      </c>
      <c r="I387">
        <v>5</v>
      </c>
      <c r="J387">
        <v>6</v>
      </c>
      <c r="K387" t="s">
        <v>29</v>
      </c>
      <c r="L387" t="s">
        <v>45</v>
      </c>
      <c r="M387">
        <v>91</v>
      </c>
      <c r="N387" t="s">
        <v>21</v>
      </c>
      <c r="O387">
        <v>4</v>
      </c>
    </row>
    <row r="388" spans="1:15" x14ac:dyDescent="0.3">
      <c r="A388" t="s">
        <v>426</v>
      </c>
      <c r="B388">
        <v>48</v>
      </c>
      <c r="C388" t="s">
        <v>24</v>
      </c>
      <c r="D388" t="s">
        <v>44</v>
      </c>
      <c r="E388" t="s">
        <v>18</v>
      </c>
      <c r="F388" t="s">
        <v>19</v>
      </c>
      <c r="G388" t="s">
        <v>20</v>
      </c>
      <c r="H388">
        <v>95135</v>
      </c>
      <c r="I388">
        <v>13</v>
      </c>
      <c r="J388">
        <v>8</v>
      </c>
      <c r="K388" t="s">
        <v>21</v>
      </c>
      <c r="L388" t="s">
        <v>47</v>
      </c>
      <c r="M388">
        <v>24</v>
      </c>
      <c r="N388" t="s">
        <v>21</v>
      </c>
      <c r="O388">
        <v>3</v>
      </c>
    </row>
    <row r="389" spans="1:15" x14ac:dyDescent="0.3">
      <c r="A389" t="s">
        <v>427</v>
      </c>
      <c r="B389">
        <v>25</v>
      </c>
      <c r="C389" t="s">
        <v>16</v>
      </c>
      <c r="D389" t="s">
        <v>17</v>
      </c>
      <c r="E389" t="s">
        <v>41</v>
      </c>
      <c r="F389" t="s">
        <v>19</v>
      </c>
      <c r="G389" t="s">
        <v>20</v>
      </c>
      <c r="H389">
        <v>64462</v>
      </c>
      <c r="I389">
        <v>10</v>
      </c>
      <c r="J389">
        <v>9</v>
      </c>
      <c r="K389" t="s">
        <v>21</v>
      </c>
      <c r="L389" t="s">
        <v>47</v>
      </c>
      <c r="M389">
        <v>17</v>
      </c>
      <c r="N389" t="s">
        <v>29</v>
      </c>
      <c r="O389">
        <v>3</v>
      </c>
    </row>
    <row r="390" spans="1:15" x14ac:dyDescent="0.3">
      <c r="A390" t="s">
        <v>428</v>
      </c>
      <c r="B390">
        <v>50</v>
      </c>
      <c r="C390" t="s">
        <v>24</v>
      </c>
      <c r="D390" t="s">
        <v>32</v>
      </c>
      <c r="E390" t="s">
        <v>33</v>
      </c>
      <c r="F390" t="s">
        <v>27</v>
      </c>
      <c r="G390" t="s">
        <v>28</v>
      </c>
      <c r="H390">
        <v>81382</v>
      </c>
      <c r="I390">
        <v>7</v>
      </c>
      <c r="J390">
        <v>6</v>
      </c>
      <c r="K390" t="s">
        <v>29</v>
      </c>
      <c r="L390" t="s">
        <v>22</v>
      </c>
      <c r="M390">
        <v>81</v>
      </c>
      <c r="N390" t="s">
        <v>29</v>
      </c>
      <c r="O390">
        <v>1</v>
      </c>
    </row>
    <row r="391" spans="1:15" x14ac:dyDescent="0.3">
      <c r="A391" t="s">
        <v>429</v>
      </c>
      <c r="B391">
        <v>25</v>
      </c>
      <c r="C391" t="s">
        <v>16</v>
      </c>
      <c r="D391" t="s">
        <v>40</v>
      </c>
      <c r="E391" t="s">
        <v>26</v>
      </c>
      <c r="F391" t="s">
        <v>38</v>
      </c>
      <c r="G391" t="s">
        <v>20</v>
      </c>
      <c r="H391">
        <v>110194</v>
      </c>
      <c r="I391">
        <v>7</v>
      </c>
      <c r="J391">
        <v>6</v>
      </c>
      <c r="K391" t="s">
        <v>29</v>
      </c>
      <c r="L391" t="s">
        <v>22</v>
      </c>
      <c r="M391">
        <v>47</v>
      </c>
      <c r="N391" t="s">
        <v>29</v>
      </c>
      <c r="O391">
        <v>4</v>
      </c>
    </row>
    <row r="392" spans="1:15" x14ac:dyDescent="0.3">
      <c r="A392" t="s">
        <v>430</v>
      </c>
      <c r="B392">
        <v>32</v>
      </c>
      <c r="C392" t="s">
        <v>16</v>
      </c>
      <c r="D392" t="s">
        <v>35</v>
      </c>
      <c r="E392" t="s">
        <v>18</v>
      </c>
      <c r="F392" t="s">
        <v>27</v>
      </c>
      <c r="G392" t="s">
        <v>28</v>
      </c>
      <c r="H392">
        <v>52574</v>
      </c>
      <c r="I392">
        <v>0</v>
      </c>
      <c r="J392">
        <v>3</v>
      </c>
      <c r="K392" t="s">
        <v>29</v>
      </c>
      <c r="L392" t="s">
        <v>45</v>
      </c>
      <c r="M392">
        <v>15</v>
      </c>
      <c r="N392" t="s">
        <v>29</v>
      </c>
      <c r="O392">
        <v>1</v>
      </c>
    </row>
    <row r="393" spans="1:15" x14ac:dyDescent="0.3">
      <c r="A393" t="s">
        <v>431</v>
      </c>
      <c r="B393">
        <v>36</v>
      </c>
      <c r="C393" t="s">
        <v>24</v>
      </c>
      <c r="D393" t="s">
        <v>40</v>
      </c>
      <c r="E393" t="s">
        <v>26</v>
      </c>
      <c r="F393" t="s">
        <v>19</v>
      </c>
      <c r="G393" t="s">
        <v>28</v>
      </c>
      <c r="H393">
        <v>61910</v>
      </c>
      <c r="I393">
        <v>6</v>
      </c>
      <c r="J393">
        <v>0</v>
      </c>
      <c r="K393" t="s">
        <v>21</v>
      </c>
      <c r="L393" t="s">
        <v>30</v>
      </c>
      <c r="M393">
        <v>52</v>
      </c>
      <c r="N393" t="s">
        <v>29</v>
      </c>
      <c r="O393">
        <v>2</v>
      </c>
    </row>
    <row r="394" spans="1:15" x14ac:dyDescent="0.3">
      <c r="A394" t="s">
        <v>432</v>
      </c>
      <c r="B394">
        <v>46</v>
      </c>
      <c r="C394" t="s">
        <v>16</v>
      </c>
      <c r="D394" t="s">
        <v>17</v>
      </c>
      <c r="E394" t="s">
        <v>18</v>
      </c>
      <c r="F394" t="s">
        <v>38</v>
      </c>
      <c r="G394" t="s">
        <v>28</v>
      </c>
      <c r="H394">
        <v>93531</v>
      </c>
      <c r="I394">
        <v>5</v>
      </c>
      <c r="J394">
        <v>7</v>
      </c>
      <c r="K394" t="s">
        <v>29</v>
      </c>
      <c r="L394" t="s">
        <v>30</v>
      </c>
      <c r="M394">
        <v>19</v>
      </c>
      <c r="N394" t="s">
        <v>21</v>
      </c>
      <c r="O394">
        <v>1</v>
      </c>
    </row>
    <row r="395" spans="1:15" x14ac:dyDescent="0.3">
      <c r="A395" t="s">
        <v>433</v>
      </c>
      <c r="B395">
        <v>46</v>
      </c>
      <c r="C395" t="s">
        <v>16</v>
      </c>
      <c r="D395" t="s">
        <v>25</v>
      </c>
      <c r="E395" t="s">
        <v>41</v>
      </c>
      <c r="F395" t="s">
        <v>38</v>
      </c>
      <c r="G395" t="s">
        <v>20</v>
      </c>
      <c r="H395">
        <v>45186</v>
      </c>
      <c r="I395">
        <v>7</v>
      </c>
      <c r="J395">
        <v>3</v>
      </c>
      <c r="K395" t="s">
        <v>21</v>
      </c>
      <c r="L395" t="s">
        <v>22</v>
      </c>
      <c r="M395">
        <v>21</v>
      </c>
      <c r="N395" t="s">
        <v>29</v>
      </c>
      <c r="O395">
        <v>2</v>
      </c>
    </row>
    <row r="396" spans="1:15" x14ac:dyDescent="0.3">
      <c r="A396" t="s">
        <v>434</v>
      </c>
      <c r="B396">
        <v>41</v>
      </c>
      <c r="C396" t="s">
        <v>24</v>
      </c>
      <c r="D396" t="s">
        <v>25</v>
      </c>
      <c r="E396" t="s">
        <v>41</v>
      </c>
      <c r="F396" t="s">
        <v>19</v>
      </c>
      <c r="G396" t="s">
        <v>28</v>
      </c>
      <c r="H396">
        <v>114781</v>
      </c>
      <c r="I396">
        <v>18</v>
      </c>
      <c r="J396">
        <v>0</v>
      </c>
      <c r="K396" t="s">
        <v>21</v>
      </c>
      <c r="L396" t="s">
        <v>47</v>
      </c>
      <c r="M396">
        <v>58</v>
      </c>
      <c r="N396" t="s">
        <v>29</v>
      </c>
      <c r="O396">
        <v>3</v>
      </c>
    </row>
    <row r="397" spans="1:15" x14ac:dyDescent="0.3">
      <c r="A397" t="s">
        <v>435</v>
      </c>
      <c r="B397">
        <v>59</v>
      </c>
      <c r="C397" t="s">
        <v>16</v>
      </c>
      <c r="D397" t="s">
        <v>32</v>
      </c>
      <c r="E397" t="s">
        <v>50</v>
      </c>
      <c r="F397" t="s">
        <v>36</v>
      </c>
      <c r="G397" t="s">
        <v>28</v>
      </c>
      <c r="H397">
        <v>42813</v>
      </c>
      <c r="I397">
        <v>19</v>
      </c>
      <c r="J397">
        <v>4</v>
      </c>
      <c r="K397" t="s">
        <v>29</v>
      </c>
      <c r="L397" t="s">
        <v>45</v>
      </c>
      <c r="M397">
        <v>54</v>
      </c>
      <c r="N397" t="s">
        <v>21</v>
      </c>
      <c r="O397">
        <v>1</v>
      </c>
    </row>
    <row r="398" spans="1:15" x14ac:dyDescent="0.3">
      <c r="A398" t="s">
        <v>436</v>
      </c>
      <c r="B398">
        <v>56</v>
      </c>
      <c r="C398" t="s">
        <v>16</v>
      </c>
      <c r="D398" t="s">
        <v>25</v>
      </c>
      <c r="E398" t="s">
        <v>26</v>
      </c>
      <c r="F398" t="s">
        <v>36</v>
      </c>
      <c r="G398" t="s">
        <v>28</v>
      </c>
      <c r="H398">
        <v>98812</v>
      </c>
      <c r="I398">
        <v>7</v>
      </c>
      <c r="J398">
        <v>7</v>
      </c>
      <c r="K398" t="s">
        <v>21</v>
      </c>
      <c r="L398" t="s">
        <v>45</v>
      </c>
      <c r="M398">
        <v>32</v>
      </c>
      <c r="N398" t="s">
        <v>21</v>
      </c>
      <c r="O398">
        <v>1</v>
      </c>
    </row>
    <row r="399" spans="1:15" x14ac:dyDescent="0.3">
      <c r="A399" t="s">
        <v>437</v>
      </c>
      <c r="B399">
        <v>53</v>
      </c>
      <c r="C399" t="s">
        <v>16</v>
      </c>
      <c r="D399" t="s">
        <v>32</v>
      </c>
      <c r="E399" t="s">
        <v>18</v>
      </c>
      <c r="F399" t="s">
        <v>38</v>
      </c>
      <c r="G399" t="s">
        <v>28</v>
      </c>
      <c r="H399">
        <v>105525</v>
      </c>
      <c r="I399">
        <v>13</v>
      </c>
      <c r="J399">
        <v>3</v>
      </c>
      <c r="K399" t="s">
        <v>21</v>
      </c>
      <c r="L399" t="s">
        <v>30</v>
      </c>
      <c r="M399">
        <v>87</v>
      </c>
      <c r="N399" t="s">
        <v>21</v>
      </c>
      <c r="O399">
        <v>5</v>
      </c>
    </row>
    <row r="400" spans="1:15" x14ac:dyDescent="0.3">
      <c r="A400" t="s">
        <v>438</v>
      </c>
      <c r="B400">
        <v>50</v>
      </c>
      <c r="C400" t="s">
        <v>24</v>
      </c>
      <c r="D400" t="s">
        <v>32</v>
      </c>
      <c r="E400" t="s">
        <v>41</v>
      </c>
      <c r="F400" t="s">
        <v>27</v>
      </c>
      <c r="G400" t="s">
        <v>28</v>
      </c>
      <c r="H400">
        <v>98282</v>
      </c>
      <c r="I400">
        <v>17</v>
      </c>
      <c r="J400">
        <v>7</v>
      </c>
      <c r="K400" t="s">
        <v>29</v>
      </c>
      <c r="L400" t="s">
        <v>22</v>
      </c>
      <c r="M400">
        <v>8</v>
      </c>
      <c r="N400" t="s">
        <v>21</v>
      </c>
      <c r="O400">
        <v>3</v>
      </c>
    </row>
    <row r="401" spans="1:15" x14ac:dyDescent="0.3">
      <c r="A401" t="s">
        <v>439</v>
      </c>
      <c r="B401">
        <v>57</v>
      </c>
      <c r="C401" t="s">
        <v>16</v>
      </c>
      <c r="D401" t="s">
        <v>32</v>
      </c>
      <c r="E401" t="s">
        <v>33</v>
      </c>
      <c r="F401" t="s">
        <v>36</v>
      </c>
      <c r="G401" t="s">
        <v>28</v>
      </c>
      <c r="H401">
        <v>38557</v>
      </c>
      <c r="I401">
        <v>15</v>
      </c>
      <c r="J401">
        <v>7</v>
      </c>
      <c r="K401" t="s">
        <v>21</v>
      </c>
      <c r="L401" t="s">
        <v>30</v>
      </c>
      <c r="M401">
        <v>26</v>
      </c>
      <c r="N401" t="s">
        <v>21</v>
      </c>
      <c r="O401">
        <v>5</v>
      </c>
    </row>
    <row r="402" spans="1:15" x14ac:dyDescent="0.3">
      <c r="A402" t="s">
        <v>440</v>
      </c>
      <c r="B402">
        <v>43</v>
      </c>
      <c r="C402" t="s">
        <v>16</v>
      </c>
      <c r="D402" t="s">
        <v>35</v>
      </c>
      <c r="E402" t="s">
        <v>41</v>
      </c>
      <c r="F402" t="s">
        <v>27</v>
      </c>
      <c r="G402" t="s">
        <v>28</v>
      </c>
      <c r="H402">
        <v>48060</v>
      </c>
      <c r="I402">
        <v>8</v>
      </c>
      <c r="J402">
        <v>2</v>
      </c>
      <c r="K402" t="s">
        <v>29</v>
      </c>
      <c r="L402" t="s">
        <v>30</v>
      </c>
      <c r="M402">
        <v>90</v>
      </c>
      <c r="N402" t="s">
        <v>29</v>
      </c>
      <c r="O402">
        <v>2</v>
      </c>
    </row>
    <row r="403" spans="1:15" x14ac:dyDescent="0.3">
      <c r="A403" t="s">
        <v>441</v>
      </c>
      <c r="B403">
        <v>30</v>
      </c>
      <c r="C403" t="s">
        <v>16</v>
      </c>
      <c r="D403" t="s">
        <v>44</v>
      </c>
      <c r="E403" t="s">
        <v>33</v>
      </c>
      <c r="F403" t="s">
        <v>36</v>
      </c>
      <c r="G403" t="s">
        <v>28</v>
      </c>
      <c r="H403">
        <v>78866</v>
      </c>
      <c r="I403">
        <v>14</v>
      </c>
      <c r="J403">
        <v>8</v>
      </c>
      <c r="K403" t="s">
        <v>21</v>
      </c>
      <c r="L403" t="s">
        <v>22</v>
      </c>
      <c r="M403">
        <v>43</v>
      </c>
      <c r="N403" t="s">
        <v>21</v>
      </c>
      <c r="O403">
        <v>2</v>
      </c>
    </row>
    <row r="404" spans="1:15" x14ac:dyDescent="0.3">
      <c r="A404" t="s">
        <v>442</v>
      </c>
      <c r="B404">
        <v>25</v>
      </c>
      <c r="C404" t="s">
        <v>16</v>
      </c>
      <c r="D404" t="s">
        <v>32</v>
      </c>
      <c r="E404" t="s">
        <v>18</v>
      </c>
      <c r="F404" t="s">
        <v>36</v>
      </c>
      <c r="G404" t="s">
        <v>28</v>
      </c>
      <c r="H404">
        <v>92104</v>
      </c>
      <c r="I404">
        <v>9</v>
      </c>
      <c r="J404">
        <v>2</v>
      </c>
      <c r="K404" t="s">
        <v>29</v>
      </c>
      <c r="L404" t="s">
        <v>47</v>
      </c>
      <c r="M404">
        <v>38</v>
      </c>
      <c r="N404" t="s">
        <v>29</v>
      </c>
      <c r="O404">
        <v>3</v>
      </c>
    </row>
    <row r="405" spans="1:15" x14ac:dyDescent="0.3">
      <c r="A405" t="s">
        <v>443</v>
      </c>
      <c r="B405">
        <v>56</v>
      </c>
      <c r="C405" t="s">
        <v>24</v>
      </c>
      <c r="D405" t="s">
        <v>32</v>
      </c>
      <c r="E405" t="s">
        <v>41</v>
      </c>
      <c r="F405" t="s">
        <v>27</v>
      </c>
      <c r="G405" t="s">
        <v>28</v>
      </c>
      <c r="H405">
        <v>104577</v>
      </c>
      <c r="I405">
        <v>15</v>
      </c>
      <c r="J405">
        <v>0</v>
      </c>
      <c r="K405" t="s">
        <v>29</v>
      </c>
      <c r="L405" t="s">
        <v>45</v>
      </c>
      <c r="M405">
        <v>48</v>
      </c>
      <c r="N405" t="s">
        <v>21</v>
      </c>
      <c r="O405">
        <v>2</v>
      </c>
    </row>
    <row r="406" spans="1:15" x14ac:dyDescent="0.3">
      <c r="A406" t="s">
        <v>444</v>
      </c>
      <c r="B406">
        <v>54</v>
      </c>
      <c r="C406" t="s">
        <v>24</v>
      </c>
      <c r="D406" t="s">
        <v>44</v>
      </c>
      <c r="E406" t="s">
        <v>41</v>
      </c>
      <c r="F406" t="s">
        <v>19</v>
      </c>
      <c r="G406" t="s">
        <v>28</v>
      </c>
      <c r="H406">
        <v>26080</v>
      </c>
      <c r="I406">
        <v>3</v>
      </c>
      <c r="J406">
        <v>1</v>
      </c>
      <c r="K406" t="s">
        <v>21</v>
      </c>
      <c r="L406" t="s">
        <v>47</v>
      </c>
      <c r="M406">
        <v>46</v>
      </c>
      <c r="N406" t="s">
        <v>29</v>
      </c>
      <c r="O406">
        <v>3</v>
      </c>
    </row>
    <row r="407" spans="1:15" x14ac:dyDescent="0.3">
      <c r="A407" t="s">
        <v>445</v>
      </c>
      <c r="B407">
        <v>51</v>
      </c>
      <c r="C407" t="s">
        <v>16</v>
      </c>
      <c r="D407" t="s">
        <v>40</v>
      </c>
      <c r="E407" t="s">
        <v>18</v>
      </c>
      <c r="F407" t="s">
        <v>36</v>
      </c>
      <c r="G407" t="s">
        <v>20</v>
      </c>
      <c r="H407">
        <v>33854</v>
      </c>
      <c r="I407">
        <v>19</v>
      </c>
      <c r="J407">
        <v>5</v>
      </c>
      <c r="K407" t="s">
        <v>29</v>
      </c>
      <c r="L407" t="s">
        <v>22</v>
      </c>
      <c r="M407">
        <v>44</v>
      </c>
      <c r="N407" t="s">
        <v>21</v>
      </c>
      <c r="O407">
        <v>2</v>
      </c>
    </row>
    <row r="408" spans="1:15" x14ac:dyDescent="0.3">
      <c r="A408" t="s">
        <v>446</v>
      </c>
      <c r="B408">
        <v>30</v>
      </c>
      <c r="C408" t="s">
        <v>16</v>
      </c>
      <c r="D408" t="s">
        <v>32</v>
      </c>
      <c r="E408" t="s">
        <v>41</v>
      </c>
      <c r="F408" t="s">
        <v>36</v>
      </c>
      <c r="G408" t="s">
        <v>28</v>
      </c>
      <c r="H408">
        <v>87695</v>
      </c>
      <c r="I408">
        <v>12</v>
      </c>
      <c r="J408">
        <v>9</v>
      </c>
      <c r="K408" t="s">
        <v>21</v>
      </c>
      <c r="L408" t="s">
        <v>22</v>
      </c>
      <c r="M408">
        <v>16</v>
      </c>
      <c r="N408" t="s">
        <v>29</v>
      </c>
      <c r="O408">
        <v>4</v>
      </c>
    </row>
    <row r="409" spans="1:15" x14ac:dyDescent="0.3">
      <c r="A409" t="s">
        <v>447</v>
      </c>
      <c r="B409">
        <v>39</v>
      </c>
      <c r="C409" t="s">
        <v>24</v>
      </c>
      <c r="D409" t="s">
        <v>35</v>
      </c>
      <c r="E409" t="s">
        <v>33</v>
      </c>
      <c r="F409" t="s">
        <v>27</v>
      </c>
      <c r="G409" t="s">
        <v>28</v>
      </c>
      <c r="H409">
        <v>47025</v>
      </c>
      <c r="I409">
        <v>4</v>
      </c>
      <c r="J409">
        <v>1</v>
      </c>
      <c r="K409" t="s">
        <v>21</v>
      </c>
      <c r="L409" t="s">
        <v>45</v>
      </c>
      <c r="M409">
        <v>6</v>
      </c>
      <c r="N409" t="s">
        <v>29</v>
      </c>
      <c r="O409">
        <v>1</v>
      </c>
    </row>
    <row r="410" spans="1:15" x14ac:dyDescent="0.3">
      <c r="A410" t="s">
        <v>448</v>
      </c>
      <c r="B410">
        <v>52</v>
      </c>
      <c r="C410" t="s">
        <v>24</v>
      </c>
      <c r="D410" t="s">
        <v>25</v>
      </c>
      <c r="E410" t="s">
        <v>41</v>
      </c>
      <c r="F410" t="s">
        <v>19</v>
      </c>
      <c r="G410" t="s">
        <v>28</v>
      </c>
      <c r="H410">
        <v>72982</v>
      </c>
      <c r="I410">
        <v>6</v>
      </c>
      <c r="J410">
        <v>5</v>
      </c>
      <c r="K410" t="s">
        <v>29</v>
      </c>
      <c r="L410" t="s">
        <v>47</v>
      </c>
      <c r="M410">
        <v>32</v>
      </c>
      <c r="N410" t="s">
        <v>29</v>
      </c>
      <c r="O410">
        <v>4</v>
      </c>
    </row>
    <row r="411" spans="1:15" x14ac:dyDescent="0.3">
      <c r="A411" t="s">
        <v>449</v>
      </c>
      <c r="B411">
        <v>21</v>
      </c>
      <c r="C411" t="s">
        <v>16</v>
      </c>
      <c r="D411" t="s">
        <v>25</v>
      </c>
      <c r="E411" t="s">
        <v>26</v>
      </c>
      <c r="F411" t="s">
        <v>36</v>
      </c>
      <c r="G411" t="s">
        <v>20</v>
      </c>
      <c r="H411">
        <v>61081</v>
      </c>
      <c r="I411">
        <v>8</v>
      </c>
      <c r="J411">
        <v>0</v>
      </c>
      <c r="K411" t="s">
        <v>21</v>
      </c>
      <c r="L411" t="s">
        <v>45</v>
      </c>
      <c r="M411">
        <v>78</v>
      </c>
      <c r="N411" t="s">
        <v>29</v>
      </c>
      <c r="O411">
        <v>3</v>
      </c>
    </row>
    <row r="412" spans="1:15" x14ac:dyDescent="0.3">
      <c r="A412" t="s">
        <v>450</v>
      </c>
      <c r="B412">
        <v>25</v>
      </c>
      <c r="C412" t="s">
        <v>24</v>
      </c>
      <c r="D412" t="s">
        <v>17</v>
      </c>
      <c r="E412" t="s">
        <v>50</v>
      </c>
      <c r="F412" t="s">
        <v>36</v>
      </c>
      <c r="G412" t="s">
        <v>28</v>
      </c>
      <c r="H412">
        <v>24368</v>
      </c>
      <c r="I412">
        <v>7</v>
      </c>
      <c r="J412">
        <v>0</v>
      </c>
      <c r="K412" t="s">
        <v>29</v>
      </c>
      <c r="L412" t="s">
        <v>30</v>
      </c>
      <c r="M412">
        <v>90</v>
      </c>
      <c r="N412" t="s">
        <v>29</v>
      </c>
      <c r="O412">
        <v>3</v>
      </c>
    </row>
    <row r="413" spans="1:15" x14ac:dyDescent="0.3">
      <c r="A413" t="s">
        <v>451</v>
      </c>
      <c r="B413">
        <v>24</v>
      </c>
      <c r="C413" t="s">
        <v>16</v>
      </c>
      <c r="D413" t="s">
        <v>17</v>
      </c>
      <c r="E413" t="s">
        <v>33</v>
      </c>
      <c r="F413" t="s">
        <v>19</v>
      </c>
      <c r="G413" t="s">
        <v>20</v>
      </c>
      <c r="H413">
        <v>119621</v>
      </c>
      <c r="I413">
        <v>15</v>
      </c>
      <c r="J413">
        <v>4</v>
      </c>
      <c r="K413" t="s">
        <v>21</v>
      </c>
      <c r="L413" t="s">
        <v>30</v>
      </c>
      <c r="M413">
        <v>85</v>
      </c>
      <c r="N413" t="s">
        <v>29</v>
      </c>
      <c r="O413">
        <v>4</v>
      </c>
    </row>
    <row r="414" spans="1:15" x14ac:dyDescent="0.3">
      <c r="A414" t="s">
        <v>452</v>
      </c>
      <c r="B414">
        <v>36</v>
      </c>
      <c r="C414" t="s">
        <v>24</v>
      </c>
      <c r="D414" t="s">
        <v>25</v>
      </c>
      <c r="E414" t="s">
        <v>26</v>
      </c>
      <c r="F414" t="s">
        <v>36</v>
      </c>
      <c r="G414" t="s">
        <v>28</v>
      </c>
      <c r="H414">
        <v>47094</v>
      </c>
      <c r="I414">
        <v>5</v>
      </c>
      <c r="J414">
        <v>9</v>
      </c>
      <c r="K414" t="s">
        <v>21</v>
      </c>
      <c r="L414" t="s">
        <v>30</v>
      </c>
      <c r="M414">
        <v>94</v>
      </c>
      <c r="N414" t="s">
        <v>29</v>
      </c>
      <c r="O414">
        <v>1</v>
      </c>
    </row>
    <row r="415" spans="1:15" x14ac:dyDescent="0.3">
      <c r="A415" t="s">
        <v>453</v>
      </c>
      <c r="B415">
        <v>44</v>
      </c>
      <c r="C415" t="s">
        <v>24</v>
      </c>
      <c r="D415" t="s">
        <v>25</v>
      </c>
      <c r="E415" t="s">
        <v>18</v>
      </c>
      <c r="F415" t="s">
        <v>19</v>
      </c>
      <c r="G415" t="s">
        <v>28</v>
      </c>
      <c r="H415">
        <v>66040</v>
      </c>
      <c r="I415">
        <v>15</v>
      </c>
      <c r="J415">
        <v>8</v>
      </c>
      <c r="K415" t="s">
        <v>29</v>
      </c>
      <c r="L415" t="s">
        <v>47</v>
      </c>
      <c r="M415">
        <v>71</v>
      </c>
      <c r="N415" t="s">
        <v>29</v>
      </c>
      <c r="O415">
        <v>1</v>
      </c>
    </row>
    <row r="416" spans="1:15" x14ac:dyDescent="0.3">
      <c r="A416" t="s">
        <v>454</v>
      </c>
      <c r="B416">
        <v>36</v>
      </c>
      <c r="C416" t="s">
        <v>24</v>
      </c>
      <c r="D416" t="s">
        <v>35</v>
      </c>
      <c r="E416" t="s">
        <v>33</v>
      </c>
      <c r="F416" t="s">
        <v>19</v>
      </c>
      <c r="G416" t="s">
        <v>20</v>
      </c>
      <c r="H416">
        <v>86766</v>
      </c>
      <c r="I416">
        <v>5</v>
      </c>
      <c r="J416">
        <v>7</v>
      </c>
      <c r="K416" t="s">
        <v>21</v>
      </c>
      <c r="L416" t="s">
        <v>30</v>
      </c>
      <c r="M416">
        <v>75</v>
      </c>
      <c r="N416" t="s">
        <v>29</v>
      </c>
      <c r="O416">
        <v>5</v>
      </c>
    </row>
    <row r="417" spans="1:15" x14ac:dyDescent="0.3">
      <c r="A417" t="s">
        <v>455</v>
      </c>
      <c r="B417">
        <v>22</v>
      </c>
      <c r="C417" t="s">
        <v>24</v>
      </c>
      <c r="D417" t="s">
        <v>44</v>
      </c>
      <c r="E417" t="s">
        <v>50</v>
      </c>
      <c r="F417" t="s">
        <v>27</v>
      </c>
      <c r="G417" t="s">
        <v>28</v>
      </c>
      <c r="H417">
        <v>103053</v>
      </c>
      <c r="I417">
        <v>13</v>
      </c>
      <c r="J417">
        <v>2</v>
      </c>
      <c r="K417" t="s">
        <v>21</v>
      </c>
      <c r="L417" t="s">
        <v>45</v>
      </c>
      <c r="M417">
        <v>76</v>
      </c>
      <c r="N417" t="s">
        <v>29</v>
      </c>
      <c r="O417">
        <v>2</v>
      </c>
    </row>
    <row r="418" spans="1:15" x14ac:dyDescent="0.3">
      <c r="A418" t="s">
        <v>456</v>
      </c>
      <c r="B418">
        <v>48</v>
      </c>
      <c r="C418" t="s">
        <v>16</v>
      </c>
      <c r="D418" t="s">
        <v>17</v>
      </c>
      <c r="E418" t="s">
        <v>50</v>
      </c>
      <c r="F418" t="s">
        <v>38</v>
      </c>
      <c r="G418" t="s">
        <v>20</v>
      </c>
      <c r="H418">
        <v>43991</v>
      </c>
      <c r="I418">
        <v>0</v>
      </c>
      <c r="J418">
        <v>2</v>
      </c>
      <c r="K418" t="s">
        <v>21</v>
      </c>
      <c r="L418" t="s">
        <v>47</v>
      </c>
      <c r="M418">
        <v>88</v>
      </c>
      <c r="N418" t="s">
        <v>21</v>
      </c>
      <c r="O418">
        <v>5</v>
      </c>
    </row>
    <row r="419" spans="1:15" x14ac:dyDescent="0.3">
      <c r="A419" t="s">
        <v>457</v>
      </c>
      <c r="B419">
        <v>52</v>
      </c>
      <c r="C419" t="s">
        <v>24</v>
      </c>
      <c r="D419" t="s">
        <v>44</v>
      </c>
      <c r="E419" t="s">
        <v>18</v>
      </c>
      <c r="F419" t="s">
        <v>19</v>
      </c>
      <c r="G419" t="s">
        <v>20</v>
      </c>
      <c r="H419">
        <v>21301</v>
      </c>
      <c r="I419">
        <v>8</v>
      </c>
      <c r="J419">
        <v>0</v>
      </c>
      <c r="K419" t="s">
        <v>21</v>
      </c>
      <c r="L419" t="s">
        <v>45</v>
      </c>
      <c r="M419">
        <v>80</v>
      </c>
      <c r="N419" t="s">
        <v>29</v>
      </c>
      <c r="O419">
        <v>1</v>
      </c>
    </row>
    <row r="420" spans="1:15" x14ac:dyDescent="0.3">
      <c r="A420" t="s">
        <v>458</v>
      </c>
      <c r="B420">
        <v>47</v>
      </c>
      <c r="C420" t="s">
        <v>24</v>
      </c>
      <c r="D420" t="s">
        <v>35</v>
      </c>
      <c r="E420" t="s">
        <v>18</v>
      </c>
      <c r="F420" t="s">
        <v>27</v>
      </c>
      <c r="G420" t="s">
        <v>28</v>
      </c>
      <c r="H420">
        <v>48610</v>
      </c>
      <c r="I420">
        <v>12</v>
      </c>
      <c r="J420">
        <v>2</v>
      </c>
      <c r="K420" t="s">
        <v>21</v>
      </c>
      <c r="L420" t="s">
        <v>22</v>
      </c>
      <c r="M420">
        <v>85</v>
      </c>
      <c r="N420" t="s">
        <v>29</v>
      </c>
      <c r="O420">
        <v>4</v>
      </c>
    </row>
    <row r="421" spans="1:15" x14ac:dyDescent="0.3">
      <c r="A421" t="s">
        <v>459</v>
      </c>
      <c r="B421">
        <v>40</v>
      </c>
      <c r="C421" t="s">
        <v>16</v>
      </c>
      <c r="D421" t="s">
        <v>25</v>
      </c>
      <c r="E421" t="s">
        <v>33</v>
      </c>
      <c r="F421" t="s">
        <v>38</v>
      </c>
      <c r="G421" t="s">
        <v>28</v>
      </c>
      <c r="H421">
        <v>101463</v>
      </c>
      <c r="I421">
        <v>18</v>
      </c>
      <c r="J421">
        <v>0</v>
      </c>
      <c r="K421" t="s">
        <v>21</v>
      </c>
      <c r="L421" t="s">
        <v>47</v>
      </c>
      <c r="M421">
        <v>96</v>
      </c>
      <c r="N421" t="s">
        <v>21</v>
      </c>
      <c r="O421">
        <v>2</v>
      </c>
    </row>
    <row r="422" spans="1:15" x14ac:dyDescent="0.3">
      <c r="A422" t="s">
        <v>460</v>
      </c>
      <c r="B422">
        <v>44</v>
      </c>
      <c r="C422" t="s">
        <v>24</v>
      </c>
      <c r="D422" t="s">
        <v>32</v>
      </c>
      <c r="E422" t="s">
        <v>41</v>
      </c>
      <c r="F422" t="s">
        <v>36</v>
      </c>
      <c r="G422" t="s">
        <v>28</v>
      </c>
      <c r="H422">
        <v>54678</v>
      </c>
      <c r="I422">
        <v>16</v>
      </c>
      <c r="J422">
        <v>7</v>
      </c>
      <c r="K422" t="s">
        <v>21</v>
      </c>
      <c r="L422" t="s">
        <v>45</v>
      </c>
      <c r="M422">
        <v>14</v>
      </c>
      <c r="N422" t="s">
        <v>29</v>
      </c>
      <c r="O422">
        <v>4</v>
      </c>
    </row>
    <row r="423" spans="1:15" x14ac:dyDescent="0.3">
      <c r="A423" t="s">
        <v>461</v>
      </c>
      <c r="B423">
        <v>32</v>
      </c>
      <c r="C423" t="s">
        <v>24</v>
      </c>
      <c r="D423" t="s">
        <v>44</v>
      </c>
      <c r="E423" t="s">
        <v>18</v>
      </c>
      <c r="F423" t="s">
        <v>38</v>
      </c>
      <c r="G423" t="s">
        <v>28</v>
      </c>
      <c r="H423">
        <v>44466</v>
      </c>
      <c r="I423">
        <v>10</v>
      </c>
      <c r="J423">
        <v>0</v>
      </c>
      <c r="K423" t="s">
        <v>21</v>
      </c>
      <c r="L423" t="s">
        <v>45</v>
      </c>
      <c r="M423">
        <v>90</v>
      </c>
      <c r="N423" t="s">
        <v>29</v>
      </c>
      <c r="O423">
        <v>5</v>
      </c>
    </row>
    <row r="424" spans="1:15" x14ac:dyDescent="0.3">
      <c r="A424" t="s">
        <v>462</v>
      </c>
      <c r="B424">
        <v>55</v>
      </c>
      <c r="C424" t="s">
        <v>16</v>
      </c>
      <c r="D424" t="s">
        <v>25</v>
      </c>
      <c r="E424" t="s">
        <v>41</v>
      </c>
      <c r="F424" t="s">
        <v>19</v>
      </c>
      <c r="G424" t="s">
        <v>20</v>
      </c>
      <c r="H424">
        <v>100440</v>
      </c>
      <c r="I424">
        <v>7</v>
      </c>
      <c r="J424">
        <v>4</v>
      </c>
      <c r="K424" t="s">
        <v>29</v>
      </c>
      <c r="L424" t="s">
        <v>47</v>
      </c>
      <c r="M424">
        <v>61</v>
      </c>
      <c r="N424" t="s">
        <v>21</v>
      </c>
      <c r="O424">
        <v>3</v>
      </c>
    </row>
    <row r="425" spans="1:15" x14ac:dyDescent="0.3">
      <c r="A425" t="s">
        <v>463</v>
      </c>
      <c r="B425">
        <v>53</v>
      </c>
      <c r="C425" t="s">
        <v>24</v>
      </c>
      <c r="D425" t="s">
        <v>25</v>
      </c>
      <c r="E425" t="s">
        <v>26</v>
      </c>
      <c r="F425" t="s">
        <v>19</v>
      </c>
      <c r="G425" t="s">
        <v>20</v>
      </c>
      <c r="H425">
        <v>60875</v>
      </c>
      <c r="I425">
        <v>4</v>
      </c>
      <c r="J425">
        <v>8</v>
      </c>
      <c r="K425" t="s">
        <v>21</v>
      </c>
      <c r="L425" t="s">
        <v>22</v>
      </c>
      <c r="M425">
        <v>90</v>
      </c>
      <c r="N425" t="s">
        <v>21</v>
      </c>
      <c r="O425">
        <v>4</v>
      </c>
    </row>
    <row r="426" spans="1:15" x14ac:dyDescent="0.3">
      <c r="A426" t="s">
        <v>464</v>
      </c>
      <c r="B426">
        <v>53</v>
      </c>
      <c r="C426" t="s">
        <v>16</v>
      </c>
      <c r="D426" t="s">
        <v>40</v>
      </c>
      <c r="E426" t="s">
        <v>50</v>
      </c>
      <c r="F426" t="s">
        <v>19</v>
      </c>
      <c r="G426" t="s">
        <v>28</v>
      </c>
      <c r="H426">
        <v>46081</v>
      </c>
      <c r="I426">
        <v>9</v>
      </c>
      <c r="J426">
        <v>6</v>
      </c>
      <c r="K426" t="s">
        <v>21</v>
      </c>
      <c r="L426" t="s">
        <v>47</v>
      </c>
      <c r="M426">
        <v>41</v>
      </c>
      <c r="N426" t="s">
        <v>29</v>
      </c>
      <c r="O426">
        <v>5</v>
      </c>
    </row>
    <row r="427" spans="1:15" x14ac:dyDescent="0.3">
      <c r="A427" t="s">
        <v>465</v>
      </c>
      <c r="B427">
        <v>57</v>
      </c>
      <c r="C427" t="s">
        <v>16</v>
      </c>
      <c r="D427" t="s">
        <v>44</v>
      </c>
      <c r="E427" t="s">
        <v>41</v>
      </c>
      <c r="F427" t="s">
        <v>19</v>
      </c>
      <c r="G427" t="s">
        <v>20</v>
      </c>
      <c r="H427">
        <v>44354</v>
      </c>
      <c r="I427">
        <v>6</v>
      </c>
      <c r="J427">
        <v>3</v>
      </c>
      <c r="K427" t="s">
        <v>29</v>
      </c>
      <c r="L427" t="s">
        <v>30</v>
      </c>
      <c r="M427">
        <v>81</v>
      </c>
      <c r="N427" t="s">
        <v>21</v>
      </c>
      <c r="O427">
        <v>5</v>
      </c>
    </row>
    <row r="428" spans="1:15" x14ac:dyDescent="0.3">
      <c r="A428" t="s">
        <v>466</v>
      </c>
      <c r="B428">
        <v>32</v>
      </c>
      <c r="C428" t="s">
        <v>16</v>
      </c>
      <c r="D428" t="s">
        <v>32</v>
      </c>
      <c r="E428" t="s">
        <v>50</v>
      </c>
      <c r="F428" t="s">
        <v>19</v>
      </c>
      <c r="G428" t="s">
        <v>20</v>
      </c>
      <c r="H428">
        <v>113297</v>
      </c>
      <c r="I428">
        <v>9</v>
      </c>
      <c r="J428">
        <v>8</v>
      </c>
      <c r="K428" t="s">
        <v>29</v>
      </c>
      <c r="L428" t="s">
        <v>30</v>
      </c>
      <c r="M428">
        <v>95</v>
      </c>
      <c r="N428" t="s">
        <v>29</v>
      </c>
      <c r="O428">
        <v>5</v>
      </c>
    </row>
    <row r="429" spans="1:15" x14ac:dyDescent="0.3">
      <c r="A429" t="s">
        <v>467</v>
      </c>
      <c r="B429">
        <v>23</v>
      </c>
      <c r="C429" t="s">
        <v>16</v>
      </c>
      <c r="D429" t="s">
        <v>44</v>
      </c>
      <c r="E429" t="s">
        <v>41</v>
      </c>
      <c r="F429" t="s">
        <v>27</v>
      </c>
      <c r="G429" t="s">
        <v>28</v>
      </c>
      <c r="H429">
        <v>38300</v>
      </c>
      <c r="I429">
        <v>3</v>
      </c>
      <c r="J429">
        <v>8</v>
      </c>
      <c r="K429" t="s">
        <v>29</v>
      </c>
      <c r="L429" t="s">
        <v>22</v>
      </c>
      <c r="M429">
        <v>68</v>
      </c>
      <c r="N429" t="s">
        <v>29</v>
      </c>
      <c r="O429">
        <v>3</v>
      </c>
    </row>
    <row r="430" spans="1:15" x14ac:dyDescent="0.3">
      <c r="A430" t="s">
        <v>468</v>
      </c>
      <c r="B430">
        <v>21</v>
      </c>
      <c r="C430" t="s">
        <v>24</v>
      </c>
      <c r="D430" t="s">
        <v>25</v>
      </c>
      <c r="E430" t="s">
        <v>26</v>
      </c>
      <c r="F430" t="s">
        <v>19</v>
      </c>
      <c r="G430" t="s">
        <v>20</v>
      </c>
      <c r="H430">
        <v>84384</v>
      </c>
      <c r="I430">
        <v>8</v>
      </c>
      <c r="J430">
        <v>1</v>
      </c>
      <c r="K430" t="s">
        <v>21</v>
      </c>
      <c r="L430" t="s">
        <v>45</v>
      </c>
      <c r="M430">
        <v>83</v>
      </c>
      <c r="N430" t="s">
        <v>29</v>
      </c>
      <c r="O430">
        <v>3</v>
      </c>
    </row>
    <row r="431" spans="1:15" x14ac:dyDescent="0.3">
      <c r="A431" t="s">
        <v>469</v>
      </c>
      <c r="B431">
        <v>53</v>
      </c>
      <c r="C431" t="s">
        <v>16</v>
      </c>
      <c r="D431" t="s">
        <v>32</v>
      </c>
      <c r="E431" t="s">
        <v>18</v>
      </c>
      <c r="F431" t="s">
        <v>27</v>
      </c>
      <c r="G431" t="s">
        <v>20</v>
      </c>
      <c r="H431">
        <v>115027</v>
      </c>
      <c r="I431">
        <v>13</v>
      </c>
      <c r="J431">
        <v>9</v>
      </c>
      <c r="K431" t="s">
        <v>29</v>
      </c>
      <c r="L431" t="s">
        <v>45</v>
      </c>
      <c r="M431">
        <v>90</v>
      </c>
      <c r="N431" t="s">
        <v>21</v>
      </c>
      <c r="O431">
        <v>3</v>
      </c>
    </row>
    <row r="432" spans="1:15" x14ac:dyDescent="0.3">
      <c r="A432" t="s">
        <v>470</v>
      </c>
      <c r="B432">
        <v>30</v>
      </c>
      <c r="C432" t="s">
        <v>24</v>
      </c>
      <c r="D432" t="s">
        <v>35</v>
      </c>
      <c r="E432" t="s">
        <v>26</v>
      </c>
      <c r="F432" t="s">
        <v>36</v>
      </c>
      <c r="G432" t="s">
        <v>28</v>
      </c>
      <c r="H432">
        <v>80892</v>
      </c>
      <c r="I432">
        <v>1</v>
      </c>
      <c r="J432">
        <v>9</v>
      </c>
      <c r="K432" t="s">
        <v>29</v>
      </c>
      <c r="L432" t="s">
        <v>45</v>
      </c>
      <c r="M432">
        <v>98</v>
      </c>
      <c r="N432" t="s">
        <v>29</v>
      </c>
      <c r="O432">
        <v>2</v>
      </c>
    </row>
    <row r="433" spans="1:15" x14ac:dyDescent="0.3">
      <c r="A433" t="s">
        <v>471</v>
      </c>
      <c r="B433">
        <v>49</v>
      </c>
      <c r="C433" t="s">
        <v>24</v>
      </c>
      <c r="D433" t="s">
        <v>40</v>
      </c>
      <c r="E433" t="s">
        <v>18</v>
      </c>
      <c r="F433" t="s">
        <v>19</v>
      </c>
      <c r="G433" t="s">
        <v>20</v>
      </c>
      <c r="H433">
        <v>55525</v>
      </c>
      <c r="I433">
        <v>8</v>
      </c>
      <c r="J433">
        <v>5</v>
      </c>
      <c r="K433" t="s">
        <v>21</v>
      </c>
      <c r="L433" t="s">
        <v>47</v>
      </c>
      <c r="M433">
        <v>44</v>
      </c>
      <c r="N433" t="s">
        <v>29</v>
      </c>
      <c r="O433">
        <v>3</v>
      </c>
    </row>
    <row r="434" spans="1:15" x14ac:dyDescent="0.3">
      <c r="A434" t="s">
        <v>472</v>
      </c>
      <c r="B434">
        <v>33</v>
      </c>
      <c r="C434" t="s">
        <v>24</v>
      </c>
      <c r="D434" t="s">
        <v>25</v>
      </c>
      <c r="E434" t="s">
        <v>18</v>
      </c>
      <c r="F434" t="s">
        <v>19</v>
      </c>
      <c r="G434" t="s">
        <v>28</v>
      </c>
      <c r="H434">
        <v>46532</v>
      </c>
      <c r="I434">
        <v>0</v>
      </c>
      <c r="J434">
        <v>3</v>
      </c>
      <c r="K434" t="s">
        <v>21</v>
      </c>
      <c r="L434" t="s">
        <v>47</v>
      </c>
      <c r="M434">
        <v>64</v>
      </c>
      <c r="N434" t="s">
        <v>21</v>
      </c>
      <c r="O434">
        <v>3</v>
      </c>
    </row>
    <row r="435" spans="1:15" x14ac:dyDescent="0.3">
      <c r="A435" t="s">
        <v>473</v>
      </c>
      <c r="B435">
        <v>32</v>
      </c>
      <c r="C435" t="s">
        <v>24</v>
      </c>
      <c r="D435" t="s">
        <v>17</v>
      </c>
      <c r="E435" t="s">
        <v>50</v>
      </c>
      <c r="F435" t="s">
        <v>38</v>
      </c>
      <c r="G435" t="s">
        <v>20</v>
      </c>
      <c r="H435">
        <v>26464</v>
      </c>
      <c r="I435">
        <v>9</v>
      </c>
      <c r="J435">
        <v>7</v>
      </c>
      <c r="K435" t="s">
        <v>29</v>
      </c>
      <c r="L435" t="s">
        <v>22</v>
      </c>
      <c r="M435">
        <v>52</v>
      </c>
      <c r="N435" t="s">
        <v>29</v>
      </c>
      <c r="O435">
        <v>3</v>
      </c>
    </row>
    <row r="436" spans="1:15" x14ac:dyDescent="0.3">
      <c r="A436" t="s">
        <v>474</v>
      </c>
      <c r="B436">
        <v>51</v>
      </c>
      <c r="C436" t="s">
        <v>24</v>
      </c>
      <c r="D436" t="s">
        <v>17</v>
      </c>
      <c r="E436" t="s">
        <v>26</v>
      </c>
      <c r="F436" t="s">
        <v>36</v>
      </c>
      <c r="G436" t="s">
        <v>28</v>
      </c>
      <c r="H436">
        <v>36562</v>
      </c>
      <c r="I436">
        <v>9</v>
      </c>
      <c r="J436">
        <v>6</v>
      </c>
      <c r="K436" t="s">
        <v>29</v>
      </c>
      <c r="L436" t="s">
        <v>30</v>
      </c>
      <c r="M436">
        <v>23</v>
      </c>
      <c r="N436" t="s">
        <v>29</v>
      </c>
      <c r="O436">
        <v>4</v>
      </c>
    </row>
    <row r="437" spans="1:15" x14ac:dyDescent="0.3">
      <c r="A437" t="s">
        <v>475</v>
      </c>
      <c r="B437">
        <v>22</v>
      </c>
      <c r="C437" t="s">
        <v>24</v>
      </c>
      <c r="D437" t="s">
        <v>40</v>
      </c>
      <c r="E437" t="s">
        <v>41</v>
      </c>
      <c r="F437" t="s">
        <v>19</v>
      </c>
      <c r="G437" t="s">
        <v>20</v>
      </c>
      <c r="H437">
        <v>75514</v>
      </c>
      <c r="I437">
        <v>19</v>
      </c>
      <c r="J437">
        <v>6</v>
      </c>
      <c r="K437" t="s">
        <v>21</v>
      </c>
      <c r="L437" t="s">
        <v>45</v>
      </c>
      <c r="M437">
        <v>76</v>
      </c>
      <c r="N437" t="s">
        <v>29</v>
      </c>
      <c r="O437">
        <v>3</v>
      </c>
    </row>
    <row r="438" spans="1:15" x14ac:dyDescent="0.3">
      <c r="A438" t="s">
        <v>476</v>
      </c>
      <c r="B438">
        <v>55</v>
      </c>
      <c r="C438" t="s">
        <v>24</v>
      </c>
      <c r="D438" t="s">
        <v>35</v>
      </c>
      <c r="E438" t="s">
        <v>26</v>
      </c>
      <c r="F438" t="s">
        <v>19</v>
      </c>
      <c r="G438" t="s">
        <v>20</v>
      </c>
      <c r="H438">
        <v>94219</v>
      </c>
      <c r="I438">
        <v>2</v>
      </c>
      <c r="J438">
        <v>9</v>
      </c>
      <c r="K438" t="s">
        <v>21</v>
      </c>
      <c r="L438" t="s">
        <v>30</v>
      </c>
      <c r="M438">
        <v>37</v>
      </c>
      <c r="N438" t="s">
        <v>29</v>
      </c>
      <c r="O438">
        <v>2</v>
      </c>
    </row>
    <row r="439" spans="1:15" x14ac:dyDescent="0.3">
      <c r="A439" t="s">
        <v>477</v>
      </c>
      <c r="B439">
        <v>43</v>
      </c>
      <c r="C439" t="s">
        <v>24</v>
      </c>
      <c r="D439" t="s">
        <v>25</v>
      </c>
      <c r="E439" t="s">
        <v>50</v>
      </c>
      <c r="F439" t="s">
        <v>36</v>
      </c>
      <c r="G439" t="s">
        <v>28</v>
      </c>
      <c r="H439">
        <v>52634</v>
      </c>
      <c r="I439">
        <v>5</v>
      </c>
      <c r="J439">
        <v>8</v>
      </c>
      <c r="K439" t="s">
        <v>21</v>
      </c>
      <c r="L439" t="s">
        <v>47</v>
      </c>
      <c r="M439">
        <v>48</v>
      </c>
      <c r="N439" t="s">
        <v>29</v>
      </c>
      <c r="O439">
        <v>5</v>
      </c>
    </row>
    <row r="440" spans="1:15" x14ac:dyDescent="0.3">
      <c r="A440" t="s">
        <v>478</v>
      </c>
      <c r="B440">
        <v>37</v>
      </c>
      <c r="C440" t="s">
        <v>24</v>
      </c>
      <c r="D440" t="s">
        <v>44</v>
      </c>
      <c r="E440" t="s">
        <v>18</v>
      </c>
      <c r="F440" t="s">
        <v>27</v>
      </c>
      <c r="G440" t="s">
        <v>28</v>
      </c>
      <c r="H440">
        <v>20060</v>
      </c>
      <c r="I440">
        <v>5</v>
      </c>
      <c r="J440">
        <v>4</v>
      </c>
      <c r="K440" t="s">
        <v>21</v>
      </c>
      <c r="L440" t="s">
        <v>47</v>
      </c>
      <c r="M440">
        <v>96</v>
      </c>
      <c r="N440" t="s">
        <v>29</v>
      </c>
      <c r="O440">
        <v>4</v>
      </c>
    </row>
    <row r="441" spans="1:15" x14ac:dyDescent="0.3">
      <c r="A441" t="s">
        <v>479</v>
      </c>
      <c r="B441">
        <v>46</v>
      </c>
      <c r="C441" t="s">
        <v>24</v>
      </c>
      <c r="D441" t="s">
        <v>40</v>
      </c>
      <c r="E441" t="s">
        <v>50</v>
      </c>
      <c r="F441" t="s">
        <v>19</v>
      </c>
      <c r="G441" t="s">
        <v>28</v>
      </c>
      <c r="H441">
        <v>29269</v>
      </c>
      <c r="I441">
        <v>1</v>
      </c>
      <c r="J441">
        <v>5</v>
      </c>
      <c r="K441" t="s">
        <v>21</v>
      </c>
      <c r="L441" t="s">
        <v>47</v>
      </c>
      <c r="M441">
        <v>41</v>
      </c>
      <c r="N441" t="s">
        <v>21</v>
      </c>
      <c r="O441">
        <v>1</v>
      </c>
    </row>
    <row r="442" spans="1:15" x14ac:dyDescent="0.3">
      <c r="A442" t="s">
        <v>480</v>
      </c>
      <c r="B442">
        <v>28</v>
      </c>
      <c r="C442" t="s">
        <v>16</v>
      </c>
      <c r="D442" t="s">
        <v>35</v>
      </c>
      <c r="E442" t="s">
        <v>33</v>
      </c>
      <c r="F442" t="s">
        <v>38</v>
      </c>
      <c r="G442" t="s">
        <v>28</v>
      </c>
      <c r="H442">
        <v>83143</v>
      </c>
      <c r="I442">
        <v>17</v>
      </c>
      <c r="J442">
        <v>0</v>
      </c>
      <c r="K442" t="s">
        <v>29</v>
      </c>
      <c r="L442" t="s">
        <v>30</v>
      </c>
      <c r="M442">
        <v>93</v>
      </c>
      <c r="N442" t="s">
        <v>29</v>
      </c>
      <c r="O442">
        <v>3</v>
      </c>
    </row>
    <row r="443" spans="1:15" x14ac:dyDescent="0.3">
      <c r="A443" t="s">
        <v>481</v>
      </c>
      <c r="B443">
        <v>49</v>
      </c>
      <c r="C443" t="s">
        <v>16</v>
      </c>
      <c r="D443" t="s">
        <v>44</v>
      </c>
      <c r="E443" t="s">
        <v>33</v>
      </c>
      <c r="F443" t="s">
        <v>19</v>
      </c>
      <c r="G443" t="s">
        <v>20</v>
      </c>
      <c r="H443">
        <v>43065</v>
      </c>
      <c r="I443">
        <v>1</v>
      </c>
      <c r="J443">
        <v>5</v>
      </c>
      <c r="K443" t="s">
        <v>21</v>
      </c>
      <c r="L443" t="s">
        <v>22</v>
      </c>
      <c r="M443">
        <v>40</v>
      </c>
      <c r="N443" t="s">
        <v>29</v>
      </c>
      <c r="O443">
        <v>5</v>
      </c>
    </row>
    <row r="444" spans="1:15" x14ac:dyDescent="0.3">
      <c r="A444" t="s">
        <v>482</v>
      </c>
      <c r="B444">
        <v>46</v>
      </c>
      <c r="C444" t="s">
        <v>16</v>
      </c>
      <c r="D444" t="s">
        <v>17</v>
      </c>
      <c r="E444" t="s">
        <v>41</v>
      </c>
      <c r="F444" t="s">
        <v>38</v>
      </c>
      <c r="G444" t="s">
        <v>20</v>
      </c>
      <c r="H444">
        <v>22895</v>
      </c>
      <c r="I444">
        <v>11</v>
      </c>
      <c r="J444">
        <v>1</v>
      </c>
      <c r="K444" t="s">
        <v>21</v>
      </c>
      <c r="L444" t="s">
        <v>22</v>
      </c>
      <c r="M444">
        <v>85</v>
      </c>
      <c r="N444" t="s">
        <v>21</v>
      </c>
      <c r="O444">
        <v>5</v>
      </c>
    </row>
    <row r="445" spans="1:15" x14ac:dyDescent="0.3">
      <c r="A445" t="s">
        <v>483</v>
      </c>
      <c r="B445">
        <v>30</v>
      </c>
      <c r="C445" t="s">
        <v>24</v>
      </c>
      <c r="D445" t="s">
        <v>17</v>
      </c>
      <c r="E445" t="s">
        <v>50</v>
      </c>
      <c r="F445" t="s">
        <v>38</v>
      </c>
      <c r="G445" t="s">
        <v>20</v>
      </c>
      <c r="H445">
        <v>100859</v>
      </c>
      <c r="I445">
        <v>4</v>
      </c>
      <c r="J445">
        <v>5</v>
      </c>
      <c r="K445" t="s">
        <v>21</v>
      </c>
      <c r="L445" t="s">
        <v>47</v>
      </c>
      <c r="M445">
        <v>92</v>
      </c>
      <c r="N445" t="s">
        <v>29</v>
      </c>
      <c r="O445">
        <v>4</v>
      </c>
    </row>
    <row r="446" spans="1:15" x14ac:dyDescent="0.3">
      <c r="A446" t="s">
        <v>484</v>
      </c>
      <c r="B446">
        <v>46</v>
      </c>
      <c r="C446" t="s">
        <v>16</v>
      </c>
      <c r="D446" t="s">
        <v>44</v>
      </c>
      <c r="E446" t="s">
        <v>41</v>
      </c>
      <c r="F446" t="s">
        <v>19</v>
      </c>
      <c r="G446" t="s">
        <v>28</v>
      </c>
      <c r="H446">
        <v>32352</v>
      </c>
      <c r="I446">
        <v>19</v>
      </c>
      <c r="J446">
        <v>8</v>
      </c>
      <c r="K446" t="s">
        <v>21</v>
      </c>
      <c r="L446" t="s">
        <v>45</v>
      </c>
      <c r="M446">
        <v>25</v>
      </c>
      <c r="N446" t="s">
        <v>29</v>
      </c>
      <c r="O446">
        <v>1</v>
      </c>
    </row>
    <row r="447" spans="1:15" x14ac:dyDescent="0.3">
      <c r="A447" t="s">
        <v>485</v>
      </c>
      <c r="B447">
        <v>54</v>
      </c>
      <c r="C447" t="s">
        <v>16</v>
      </c>
      <c r="D447" t="s">
        <v>40</v>
      </c>
      <c r="E447" t="s">
        <v>41</v>
      </c>
      <c r="F447" t="s">
        <v>19</v>
      </c>
      <c r="G447" t="s">
        <v>20</v>
      </c>
      <c r="H447">
        <v>69737</v>
      </c>
      <c r="I447">
        <v>6</v>
      </c>
      <c r="J447">
        <v>7</v>
      </c>
      <c r="K447" t="s">
        <v>21</v>
      </c>
      <c r="L447" t="s">
        <v>30</v>
      </c>
      <c r="M447">
        <v>6</v>
      </c>
      <c r="N447" t="s">
        <v>21</v>
      </c>
      <c r="O447">
        <v>2</v>
      </c>
    </row>
    <row r="448" spans="1:15" x14ac:dyDescent="0.3">
      <c r="A448" t="s">
        <v>486</v>
      </c>
      <c r="B448">
        <v>27</v>
      </c>
      <c r="C448" t="s">
        <v>16</v>
      </c>
      <c r="D448" t="s">
        <v>17</v>
      </c>
      <c r="E448" t="s">
        <v>33</v>
      </c>
      <c r="F448" t="s">
        <v>38</v>
      </c>
      <c r="G448" t="s">
        <v>20</v>
      </c>
      <c r="H448">
        <v>116426</v>
      </c>
      <c r="I448">
        <v>15</v>
      </c>
      <c r="J448">
        <v>8</v>
      </c>
      <c r="K448" t="s">
        <v>29</v>
      </c>
      <c r="L448" t="s">
        <v>47</v>
      </c>
      <c r="M448">
        <v>35</v>
      </c>
      <c r="N448" t="s">
        <v>21</v>
      </c>
      <c r="O448">
        <v>5</v>
      </c>
    </row>
    <row r="449" spans="1:15" x14ac:dyDescent="0.3">
      <c r="A449" t="s">
        <v>487</v>
      </c>
      <c r="B449">
        <v>24</v>
      </c>
      <c r="C449" t="s">
        <v>24</v>
      </c>
      <c r="D449" t="s">
        <v>25</v>
      </c>
      <c r="E449" t="s">
        <v>41</v>
      </c>
      <c r="F449" t="s">
        <v>36</v>
      </c>
      <c r="G449" t="s">
        <v>28</v>
      </c>
      <c r="H449">
        <v>52016</v>
      </c>
      <c r="I449">
        <v>19</v>
      </c>
      <c r="J449">
        <v>9</v>
      </c>
      <c r="K449" t="s">
        <v>21</v>
      </c>
      <c r="L449" t="s">
        <v>30</v>
      </c>
      <c r="M449">
        <v>34</v>
      </c>
      <c r="N449" t="s">
        <v>21</v>
      </c>
      <c r="O449">
        <v>5</v>
      </c>
    </row>
    <row r="450" spans="1:15" x14ac:dyDescent="0.3">
      <c r="A450" t="s">
        <v>488</v>
      </c>
      <c r="B450">
        <v>31</v>
      </c>
      <c r="C450" t="s">
        <v>24</v>
      </c>
      <c r="D450" t="s">
        <v>32</v>
      </c>
      <c r="E450" t="s">
        <v>33</v>
      </c>
      <c r="F450" t="s">
        <v>36</v>
      </c>
      <c r="G450" t="s">
        <v>28</v>
      </c>
      <c r="H450">
        <v>81304</v>
      </c>
      <c r="I450">
        <v>0</v>
      </c>
      <c r="J450">
        <v>7</v>
      </c>
      <c r="K450" t="s">
        <v>29</v>
      </c>
      <c r="L450" t="s">
        <v>30</v>
      </c>
      <c r="M450">
        <v>80</v>
      </c>
      <c r="N450" t="s">
        <v>21</v>
      </c>
      <c r="O450">
        <v>5</v>
      </c>
    </row>
    <row r="451" spans="1:15" x14ac:dyDescent="0.3">
      <c r="A451" t="s">
        <v>489</v>
      </c>
      <c r="B451">
        <v>49</v>
      </c>
      <c r="C451" t="s">
        <v>24</v>
      </c>
      <c r="D451" t="s">
        <v>44</v>
      </c>
      <c r="E451" t="s">
        <v>18</v>
      </c>
      <c r="F451" t="s">
        <v>19</v>
      </c>
      <c r="G451" t="s">
        <v>20</v>
      </c>
      <c r="H451">
        <v>31962</v>
      </c>
      <c r="I451">
        <v>0</v>
      </c>
      <c r="J451">
        <v>2</v>
      </c>
      <c r="K451" t="s">
        <v>21</v>
      </c>
      <c r="L451" t="s">
        <v>22</v>
      </c>
      <c r="M451">
        <v>48</v>
      </c>
      <c r="N451" t="s">
        <v>21</v>
      </c>
      <c r="O451">
        <v>5</v>
      </c>
    </row>
    <row r="452" spans="1:15" x14ac:dyDescent="0.3">
      <c r="A452" t="s">
        <v>490</v>
      </c>
      <c r="B452">
        <v>56</v>
      </c>
      <c r="C452" t="s">
        <v>24</v>
      </c>
      <c r="D452" t="s">
        <v>44</v>
      </c>
      <c r="E452" t="s">
        <v>50</v>
      </c>
      <c r="F452" t="s">
        <v>27</v>
      </c>
      <c r="G452" t="s">
        <v>28</v>
      </c>
      <c r="H452">
        <v>53302</v>
      </c>
      <c r="I452">
        <v>16</v>
      </c>
      <c r="J452">
        <v>7</v>
      </c>
      <c r="K452" t="s">
        <v>29</v>
      </c>
      <c r="L452" t="s">
        <v>47</v>
      </c>
      <c r="M452">
        <v>16</v>
      </c>
      <c r="N452" t="s">
        <v>21</v>
      </c>
      <c r="O452">
        <v>4</v>
      </c>
    </row>
    <row r="453" spans="1:15" x14ac:dyDescent="0.3">
      <c r="A453" t="s">
        <v>491</v>
      </c>
      <c r="B453">
        <v>45</v>
      </c>
      <c r="C453" t="s">
        <v>16</v>
      </c>
      <c r="D453" t="s">
        <v>17</v>
      </c>
      <c r="E453" t="s">
        <v>41</v>
      </c>
      <c r="F453" t="s">
        <v>36</v>
      </c>
      <c r="G453" t="s">
        <v>20</v>
      </c>
      <c r="H453">
        <v>105382</v>
      </c>
      <c r="I453">
        <v>0</v>
      </c>
      <c r="J453">
        <v>5</v>
      </c>
      <c r="K453" t="s">
        <v>29</v>
      </c>
      <c r="L453" t="s">
        <v>22</v>
      </c>
      <c r="M453">
        <v>55</v>
      </c>
      <c r="N453" t="s">
        <v>21</v>
      </c>
      <c r="O453">
        <v>1</v>
      </c>
    </row>
    <row r="454" spans="1:15" x14ac:dyDescent="0.3">
      <c r="A454" t="s">
        <v>492</v>
      </c>
      <c r="B454">
        <v>41</v>
      </c>
      <c r="C454" t="s">
        <v>16</v>
      </c>
      <c r="D454" t="s">
        <v>40</v>
      </c>
      <c r="E454" t="s">
        <v>33</v>
      </c>
      <c r="F454" t="s">
        <v>19</v>
      </c>
      <c r="G454" t="s">
        <v>20</v>
      </c>
      <c r="H454">
        <v>24011</v>
      </c>
      <c r="I454">
        <v>19</v>
      </c>
      <c r="J454">
        <v>5</v>
      </c>
      <c r="K454" t="s">
        <v>21</v>
      </c>
      <c r="L454" t="s">
        <v>47</v>
      </c>
      <c r="M454">
        <v>53</v>
      </c>
      <c r="N454" t="s">
        <v>29</v>
      </c>
      <c r="O454">
        <v>5</v>
      </c>
    </row>
    <row r="455" spans="1:15" x14ac:dyDescent="0.3">
      <c r="A455" t="s">
        <v>493</v>
      </c>
      <c r="B455">
        <v>56</v>
      </c>
      <c r="C455" t="s">
        <v>16</v>
      </c>
      <c r="D455" t="s">
        <v>25</v>
      </c>
      <c r="E455" t="s">
        <v>26</v>
      </c>
      <c r="F455" t="s">
        <v>36</v>
      </c>
      <c r="G455" t="s">
        <v>28</v>
      </c>
      <c r="H455">
        <v>39782</v>
      </c>
      <c r="I455">
        <v>12</v>
      </c>
      <c r="J455">
        <v>5</v>
      </c>
      <c r="K455" t="s">
        <v>21</v>
      </c>
      <c r="L455" t="s">
        <v>30</v>
      </c>
      <c r="M455">
        <v>28</v>
      </c>
      <c r="N455" t="s">
        <v>29</v>
      </c>
      <c r="O455">
        <v>2</v>
      </c>
    </row>
    <row r="456" spans="1:15" x14ac:dyDescent="0.3">
      <c r="A456" t="s">
        <v>494</v>
      </c>
      <c r="B456">
        <v>30</v>
      </c>
      <c r="C456" t="s">
        <v>16</v>
      </c>
      <c r="D456" t="s">
        <v>40</v>
      </c>
      <c r="E456" t="s">
        <v>41</v>
      </c>
      <c r="F456" t="s">
        <v>27</v>
      </c>
      <c r="G456" t="s">
        <v>20</v>
      </c>
      <c r="H456">
        <v>87691</v>
      </c>
      <c r="I456">
        <v>8</v>
      </c>
      <c r="J456">
        <v>2</v>
      </c>
      <c r="K456" t="s">
        <v>21</v>
      </c>
      <c r="L456" t="s">
        <v>22</v>
      </c>
      <c r="M456">
        <v>28</v>
      </c>
      <c r="N456" t="s">
        <v>29</v>
      </c>
      <c r="O456">
        <v>2</v>
      </c>
    </row>
    <row r="457" spans="1:15" x14ac:dyDescent="0.3">
      <c r="A457" t="s">
        <v>495</v>
      </c>
      <c r="B457">
        <v>57</v>
      </c>
      <c r="C457" t="s">
        <v>24</v>
      </c>
      <c r="D457" t="s">
        <v>35</v>
      </c>
      <c r="E457" t="s">
        <v>18</v>
      </c>
      <c r="F457" t="s">
        <v>19</v>
      </c>
      <c r="G457" t="s">
        <v>28</v>
      </c>
      <c r="H457">
        <v>59725</v>
      </c>
      <c r="I457">
        <v>14</v>
      </c>
      <c r="J457">
        <v>9</v>
      </c>
      <c r="K457" t="s">
        <v>21</v>
      </c>
      <c r="L457" t="s">
        <v>30</v>
      </c>
      <c r="M457">
        <v>64</v>
      </c>
      <c r="N457" t="s">
        <v>21</v>
      </c>
      <c r="O457">
        <v>3</v>
      </c>
    </row>
    <row r="458" spans="1:15" x14ac:dyDescent="0.3">
      <c r="A458" t="s">
        <v>496</v>
      </c>
      <c r="B458">
        <v>29</v>
      </c>
      <c r="C458" t="s">
        <v>24</v>
      </c>
      <c r="D458" t="s">
        <v>35</v>
      </c>
      <c r="E458" t="s">
        <v>18</v>
      </c>
      <c r="F458" t="s">
        <v>27</v>
      </c>
      <c r="G458" t="s">
        <v>28</v>
      </c>
      <c r="H458">
        <v>29196</v>
      </c>
      <c r="I458">
        <v>2</v>
      </c>
      <c r="J458">
        <v>0</v>
      </c>
      <c r="K458" t="s">
        <v>21</v>
      </c>
      <c r="L458" t="s">
        <v>47</v>
      </c>
      <c r="M458">
        <v>15</v>
      </c>
      <c r="N458" t="s">
        <v>29</v>
      </c>
      <c r="O458">
        <v>5</v>
      </c>
    </row>
    <row r="459" spans="1:15" x14ac:dyDescent="0.3">
      <c r="A459" t="s">
        <v>497</v>
      </c>
      <c r="B459">
        <v>44</v>
      </c>
      <c r="C459" t="s">
        <v>24</v>
      </c>
      <c r="D459" t="s">
        <v>32</v>
      </c>
      <c r="E459" t="s">
        <v>26</v>
      </c>
      <c r="F459" t="s">
        <v>19</v>
      </c>
      <c r="G459" t="s">
        <v>20</v>
      </c>
      <c r="H459">
        <v>63459</v>
      </c>
      <c r="I459">
        <v>13</v>
      </c>
      <c r="J459">
        <v>3</v>
      </c>
      <c r="K459" t="s">
        <v>29</v>
      </c>
      <c r="L459" t="s">
        <v>45</v>
      </c>
      <c r="M459">
        <v>17</v>
      </c>
      <c r="N459" t="s">
        <v>21</v>
      </c>
      <c r="O459">
        <v>5</v>
      </c>
    </row>
    <row r="460" spans="1:15" x14ac:dyDescent="0.3">
      <c r="A460" t="s">
        <v>498</v>
      </c>
      <c r="B460">
        <v>55</v>
      </c>
      <c r="C460" t="s">
        <v>16</v>
      </c>
      <c r="D460" t="s">
        <v>17</v>
      </c>
      <c r="E460" t="s">
        <v>33</v>
      </c>
      <c r="F460" t="s">
        <v>27</v>
      </c>
      <c r="G460" t="s">
        <v>20</v>
      </c>
      <c r="H460">
        <v>107245</v>
      </c>
      <c r="I460">
        <v>10</v>
      </c>
      <c r="J460">
        <v>9</v>
      </c>
      <c r="K460" t="s">
        <v>21</v>
      </c>
      <c r="L460" t="s">
        <v>22</v>
      </c>
      <c r="M460">
        <v>95</v>
      </c>
      <c r="N460" t="s">
        <v>29</v>
      </c>
      <c r="O460">
        <v>5</v>
      </c>
    </row>
    <row r="461" spans="1:15" x14ac:dyDescent="0.3">
      <c r="A461" t="s">
        <v>499</v>
      </c>
      <c r="B461">
        <v>55</v>
      </c>
      <c r="C461" t="s">
        <v>24</v>
      </c>
      <c r="D461" t="s">
        <v>17</v>
      </c>
      <c r="E461" t="s">
        <v>41</v>
      </c>
      <c r="F461" t="s">
        <v>36</v>
      </c>
      <c r="G461" t="s">
        <v>20</v>
      </c>
      <c r="H461">
        <v>98863</v>
      </c>
      <c r="I461">
        <v>11</v>
      </c>
      <c r="J461">
        <v>5</v>
      </c>
      <c r="K461" t="s">
        <v>21</v>
      </c>
      <c r="L461" t="s">
        <v>22</v>
      </c>
      <c r="M461">
        <v>76</v>
      </c>
      <c r="N461" t="s">
        <v>29</v>
      </c>
      <c r="O461">
        <v>5</v>
      </c>
    </row>
    <row r="462" spans="1:15" x14ac:dyDescent="0.3">
      <c r="A462" t="s">
        <v>500</v>
      </c>
      <c r="B462">
        <v>56</v>
      </c>
      <c r="C462" t="s">
        <v>24</v>
      </c>
      <c r="D462" t="s">
        <v>17</v>
      </c>
      <c r="E462" t="s">
        <v>33</v>
      </c>
      <c r="F462" t="s">
        <v>36</v>
      </c>
      <c r="G462" t="s">
        <v>28</v>
      </c>
      <c r="H462">
        <v>52769</v>
      </c>
      <c r="I462">
        <v>12</v>
      </c>
      <c r="J462">
        <v>9</v>
      </c>
      <c r="K462" t="s">
        <v>29</v>
      </c>
      <c r="L462" t="s">
        <v>30</v>
      </c>
      <c r="M462">
        <v>78</v>
      </c>
      <c r="N462" t="s">
        <v>29</v>
      </c>
      <c r="O462">
        <v>5</v>
      </c>
    </row>
    <row r="463" spans="1:15" x14ac:dyDescent="0.3">
      <c r="A463" t="s">
        <v>501</v>
      </c>
      <c r="B463">
        <v>38</v>
      </c>
      <c r="C463" t="s">
        <v>16</v>
      </c>
      <c r="D463" t="s">
        <v>32</v>
      </c>
      <c r="E463" t="s">
        <v>18</v>
      </c>
      <c r="F463" t="s">
        <v>27</v>
      </c>
      <c r="G463" t="s">
        <v>20</v>
      </c>
      <c r="H463">
        <v>44700</v>
      </c>
      <c r="I463">
        <v>12</v>
      </c>
      <c r="J463">
        <v>1</v>
      </c>
      <c r="K463" t="s">
        <v>21</v>
      </c>
      <c r="L463" t="s">
        <v>30</v>
      </c>
      <c r="M463">
        <v>76</v>
      </c>
      <c r="N463" t="s">
        <v>29</v>
      </c>
      <c r="O463">
        <v>2</v>
      </c>
    </row>
    <row r="464" spans="1:15" x14ac:dyDescent="0.3">
      <c r="A464" t="s">
        <v>502</v>
      </c>
      <c r="B464">
        <v>59</v>
      </c>
      <c r="C464" t="s">
        <v>16</v>
      </c>
      <c r="D464" t="s">
        <v>35</v>
      </c>
      <c r="E464" t="s">
        <v>33</v>
      </c>
      <c r="F464" t="s">
        <v>27</v>
      </c>
      <c r="G464" t="s">
        <v>28</v>
      </c>
      <c r="H464">
        <v>100356</v>
      </c>
      <c r="I464">
        <v>0</v>
      </c>
      <c r="J464">
        <v>6</v>
      </c>
      <c r="K464" t="s">
        <v>29</v>
      </c>
      <c r="L464" t="s">
        <v>45</v>
      </c>
      <c r="M464">
        <v>68</v>
      </c>
      <c r="N464" t="s">
        <v>21</v>
      </c>
      <c r="O464">
        <v>1</v>
      </c>
    </row>
    <row r="465" spans="1:15" x14ac:dyDescent="0.3">
      <c r="A465" t="s">
        <v>503</v>
      </c>
      <c r="B465">
        <v>52</v>
      </c>
      <c r="C465" t="s">
        <v>24</v>
      </c>
      <c r="D465" t="s">
        <v>40</v>
      </c>
      <c r="E465" t="s">
        <v>18</v>
      </c>
      <c r="F465" t="s">
        <v>27</v>
      </c>
      <c r="G465" t="s">
        <v>28</v>
      </c>
      <c r="H465">
        <v>96427</v>
      </c>
      <c r="I465">
        <v>9</v>
      </c>
      <c r="J465">
        <v>6</v>
      </c>
      <c r="K465" t="s">
        <v>21</v>
      </c>
      <c r="L465" t="s">
        <v>22</v>
      </c>
      <c r="M465">
        <v>24</v>
      </c>
      <c r="N465" t="s">
        <v>21</v>
      </c>
      <c r="O465">
        <v>1</v>
      </c>
    </row>
    <row r="466" spans="1:15" x14ac:dyDescent="0.3">
      <c r="A466" t="s">
        <v>504</v>
      </c>
      <c r="B466">
        <v>44</v>
      </c>
      <c r="C466" t="s">
        <v>24</v>
      </c>
      <c r="D466" t="s">
        <v>32</v>
      </c>
      <c r="E466" t="s">
        <v>33</v>
      </c>
      <c r="F466" t="s">
        <v>19</v>
      </c>
      <c r="G466" t="s">
        <v>20</v>
      </c>
      <c r="H466">
        <v>25269</v>
      </c>
      <c r="I466">
        <v>2</v>
      </c>
      <c r="J466">
        <v>3</v>
      </c>
      <c r="K466" t="s">
        <v>29</v>
      </c>
      <c r="L466" t="s">
        <v>47</v>
      </c>
      <c r="M466">
        <v>76</v>
      </c>
      <c r="N466" t="s">
        <v>29</v>
      </c>
      <c r="O466">
        <v>3</v>
      </c>
    </row>
    <row r="467" spans="1:15" x14ac:dyDescent="0.3">
      <c r="A467" t="s">
        <v>505</v>
      </c>
      <c r="B467">
        <v>43</v>
      </c>
      <c r="C467" t="s">
        <v>24</v>
      </c>
      <c r="D467" t="s">
        <v>32</v>
      </c>
      <c r="E467" t="s">
        <v>26</v>
      </c>
      <c r="F467" t="s">
        <v>36</v>
      </c>
      <c r="G467" t="s">
        <v>28</v>
      </c>
      <c r="H467">
        <v>63880</v>
      </c>
      <c r="I467">
        <v>3</v>
      </c>
      <c r="J467">
        <v>3</v>
      </c>
      <c r="K467" t="s">
        <v>21</v>
      </c>
      <c r="L467" t="s">
        <v>47</v>
      </c>
      <c r="M467">
        <v>77</v>
      </c>
      <c r="N467" t="s">
        <v>21</v>
      </c>
      <c r="O467">
        <v>2</v>
      </c>
    </row>
    <row r="468" spans="1:15" x14ac:dyDescent="0.3">
      <c r="A468" t="s">
        <v>506</v>
      </c>
      <c r="B468">
        <v>52</v>
      </c>
      <c r="C468" t="s">
        <v>24</v>
      </c>
      <c r="D468" t="s">
        <v>40</v>
      </c>
      <c r="E468" t="s">
        <v>50</v>
      </c>
      <c r="F468" t="s">
        <v>19</v>
      </c>
      <c r="G468" t="s">
        <v>20</v>
      </c>
      <c r="H468">
        <v>28320</v>
      </c>
      <c r="I468">
        <v>15</v>
      </c>
      <c r="J468">
        <v>0</v>
      </c>
      <c r="K468" t="s">
        <v>29</v>
      </c>
      <c r="L468" t="s">
        <v>22</v>
      </c>
      <c r="M468">
        <v>75</v>
      </c>
      <c r="N468" t="s">
        <v>21</v>
      </c>
      <c r="O468">
        <v>5</v>
      </c>
    </row>
    <row r="469" spans="1:15" x14ac:dyDescent="0.3">
      <c r="A469" t="s">
        <v>507</v>
      </c>
      <c r="B469">
        <v>57</v>
      </c>
      <c r="C469" t="s">
        <v>24</v>
      </c>
      <c r="D469" t="s">
        <v>17</v>
      </c>
      <c r="E469" t="s">
        <v>26</v>
      </c>
      <c r="F469" t="s">
        <v>36</v>
      </c>
      <c r="G469" t="s">
        <v>20</v>
      </c>
      <c r="H469">
        <v>69589</v>
      </c>
      <c r="I469">
        <v>7</v>
      </c>
      <c r="J469">
        <v>1</v>
      </c>
      <c r="K469" t="s">
        <v>29</v>
      </c>
      <c r="L469" t="s">
        <v>22</v>
      </c>
      <c r="M469">
        <v>82</v>
      </c>
      <c r="N469" t="s">
        <v>29</v>
      </c>
      <c r="O469">
        <v>1</v>
      </c>
    </row>
    <row r="470" spans="1:15" x14ac:dyDescent="0.3">
      <c r="A470" t="s">
        <v>508</v>
      </c>
      <c r="B470">
        <v>32</v>
      </c>
      <c r="C470" t="s">
        <v>24</v>
      </c>
      <c r="D470" t="s">
        <v>25</v>
      </c>
      <c r="E470" t="s">
        <v>26</v>
      </c>
      <c r="F470" t="s">
        <v>38</v>
      </c>
      <c r="G470" t="s">
        <v>20</v>
      </c>
      <c r="H470">
        <v>96276</v>
      </c>
      <c r="I470">
        <v>15</v>
      </c>
      <c r="J470">
        <v>8</v>
      </c>
      <c r="K470" t="s">
        <v>21</v>
      </c>
      <c r="L470" t="s">
        <v>22</v>
      </c>
      <c r="M470">
        <v>32</v>
      </c>
      <c r="N470" t="s">
        <v>21</v>
      </c>
      <c r="O470">
        <v>4</v>
      </c>
    </row>
    <row r="471" spans="1:15" x14ac:dyDescent="0.3">
      <c r="A471" t="s">
        <v>509</v>
      </c>
      <c r="B471">
        <v>33</v>
      </c>
      <c r="C471" t="s">
        <v>16</v>
      </c>
      <c r="D471" t="s">
        <v>40</v>
      </c>
      <c r="E471" t="s">
        <v>50</v>
      </c>
      <c r="F471" t="s">
        <v>19</v>
      </c>
      <c r="G471" t="s">
        <v>20</v>
      </c>
      <c r="H471">
        <v>55897</v>
      </c>
      <c r="I471">
        <v>16</v>
      </c>
      <c r="J471">
        <v>9</v>
      </c>
      <c r="K471" t="s">
        <v>21</v>
      </c>
      <c r="L471" t="s">
        <v>45</v>
      </c>
      <c r="M471">
        <v>6</v>
      </c>
      <c r="N471" t="s">
        <v>21</v>
      </c>
      <c r="O471">
        <v>4</v>
      </c>
    </row>
    <row r="472" spans="1:15" x14ac:dyDescent="0.3">
      <c r="A472" t="s">
        <v>510</v>
      </c>
      <c r="B472">
        <v>43</v>
      </c>
      <c r="C472" t="s">
        <v>16</v>
      </c>
      <c r="D472" t="s">
        <v>35</v>
      </c>
      <c r="E472" t="s">
        <v>50</v>
      </c>
      <c r="F472" t="s">
        <v>36</v>
      </c>
      <c r="G472" t="s">
        <v>20</v>
      </c>
      <c r="H472">
        <v>78565</v>
      </c>
      <c r="I472">
        <v>18</v>
      </c>
      <c r="J472">
        <v>7</v>
      </c>
      <c r="K472" t="s">
        <v>21</v>
      </c>
      <c r="L472" t="s">
        <v>47</v>
      </c>
      <c r="M472">
        <v>47</v>
      </c>
      <c r="N472" t="s">
        <v>21</v>
      </c>
      <c r="O472">
        <v>4</v>
      </c>
    </row>
    <row r="473" spans="1:15" x14ac:dyDescent="0.3">
      <c r="A473" t="s">
        <v>511</v>
      </c>
      <c r="B473">
        <v>45</v>
      </c>
      <c r="C473" t="s">
        <v>16</v>
      </c>
      <c r="D473" t="s">
        <v>44</v>
      </c>
      <c r="E473" t="s">
        <v>41</v>
      </c>
      <c r="F473" t="s">
        <v>36</v>
      </c>
      <c r="G473" t="s">
        <v>20</v>
      </c>
      <c r="H473">
        <v>50930</v>
      </c>
      <c r="I473">
        <v>14</v>
      </c>
      <c r="J473">
        <v>7</v>
      </c>
      <c r="K473" t="s">
        <v>29</v>
      </c>
      <c r="L473" t="s">
        <v>47</v>
      </c>
      <c r="M473">
        <v>12</v>
      </c>
      <c r="N473" t="s">
        <v>21</v>
      </c>
      <c r="O473">
        <v>5</v>
      </c>
    </row>
    <row r="474" spans="1:15" x14ac:dyDescent="0.3">
      <c r="A474" t="s">
        <v>512</v>
      </c>
      <c r="B474">
        <v>55</v>
      </c>
      <c r="C474" t="s">
        <v>24</v>
      </c>
      <c r="D474" t="s">
        <v>44</v>
      </c>
      <c r="E474" t="s">
        <v>41</v>
      </c>
      <c r="F474" t="s">
        <v>19</v>
      </c>
      <c r="G474" t="s">
        <v>20</v>
      </c>
      <c r="H474">
        <v>77233</v>
      </c>
      <c r="I474">
        <v>15</v>
      </c>
      <c r="J474">
        <v>8</v>
      </c>
      <c r="K474" t="s">
        <v>29</v>
      </c>
      <c r="L474" t="s">
        <v>30</v>
      </c>
      <c r="M474">
        <v>17</v>
      </c>
      <c r="N474" t="s">
        <v>29</v>
      </c>
      <c r="O474">
        <v>5</v>
      </c>
    </row>
    <row r="475" spans="1:15" x14ac:dyDescent="0.3">
      <c r="A475" t="s">
        <v>513</v>
      </c>
      <c r="B475">
        <v>50</v>
      </c>
      <c r="C475" t="s">
        <v>16</v>
      </c>
      <c r="D475" t="s">
        <v>32</v>
      </c>
      <c r="E475" t="s">
        <v>26</v>
      </c>
      <c r="F475" t="s">
        <v>19</v>
      </c>
      <c r="G475" t="s">
        <v>28</v>
      </c>
      <c r="H475">
        <v>102821</v>
      </c>
      <c r="I475">
        <v>14</v>
      </c>
      <c r="J475">
        <v>6</v>
      </c>
      <c r="K475" t="s">
        <v>29</v>
      </c>
      <c r="L475" t="s">
        <v>30</v>
      </c>
      <c r="M475">
        <v>89</v>
      </c>
      <c r="N475" t="s">
        <v>29</v>
      </c>
      <c r="O475">
        <v>3</v>
      </c>
    </row>
    <row r="476" spans="1:15" x14ac:dyDescent="0.3">
      <c r="A476" t="s">
        <v>514</v>
      </c>
      <c r="B476">
        <v>37</v>
      </c>
      <c r="C476" t="s">
        <v>24</v>
      </c>
      <c r="D476" t="s">
        <v>44</v>
      </c>
      <c r="E476" t="s">
        <v>26</v>
      </c>
      <c r="F476" t="s">
        <v>36</v>
      </c>
      <c r="G476" t="s">
        <v>20</v>
      </c>
      <c r="H476">
        <v>34380</v>
      </c>
      <c r="I476">
        <v>1</v>
      </c>
      <c r="J476">
        <v>8</v>
      </c>
      <c r="K476" t="s">
        <v>21</v>
      </c>
      <c r="L476" t="s">
        <v>22</v>
      </c>
      <c r="M476">
        <v>96</v>
      </c>
      <c r="N476" t="s">
        <v>21</v>
      </c>
      <c r="O476">
        <v>3</v>
      </c>
    </row>
    <row r="477" spans="1:15" x14ac:dyDescent="0.3">
      <c r="A477" t="s">
        <v>515</v>
      </c>
      <c r="B477">
        <v>40</v>
      </c>
      <c r="C477" t="s">
        <v>24</v>
      </c>
      <c r="D477" t="s">
        <v>25</v>
      </c>
      <c r="E477" t="s">
        <v>18</v>
      </c>
      <c r="F477" t="s">
        <v>19</v>
      </c>
      <c r="G477" t="s">
        <v>28</v>
      </c>
      <c r="H477">
        <v>96896</v>
      </c>
      <c r="I477">
        <v>10</v>
      </c>
      <c r="J477">
        <v>9</v>
      </c>
      <c r="K477" t="s">
        <v>21</v>
      </c>
      <c r="L477" t="s">
        <v>30</v>
      </c>
      <c r="M477">
        <v>39</v>
      </c>
      <c r="N477" t="s">
        <v>29</v>
      </c>
      <c r="O477">
        <v>3</v>
      </c>
    </row>
    <row r="478" spans="1:15" x14ac:dyDescent="0.3">
      <c r="A478" t="s">
        <v>516</v>
      </c>
      <c r="B478">
        <v>45</v>
      </c>
      <c r="C478" t="s">
        <v>16</v>
      </c>
      <c r="D478" t="s">
        <v>17</v>
      </c>
      <c r="E478" t="s">
        <v>18</v>
      </c>
      <c r="F478" t="s">
        <v>27</v>
      </c>
      <c r="G478" t="s">
        <v>28</v>
      </c>
      <c r="H478">
        <v>90934</v>
      </c>
      <c r="I478">
        <v>0</v>
      </c>
      <c r="J478">
        <v>1</v>
      </c>
      <c r="K478" t="s">
        <v>29</v>
      </c>
      <c r="L478" t="s">
        <v>45</v>
      </c>
      <c r="M478">
        <v>27</v>
      </c>
      <c r="N478" t="s">
        <v>29</v>
      </c>
      <c r="O478">
        <v>4</v>
      </c>
    </row>
    <row r="479" spans="1:15" x14ac:dyDescent="0.3">
      <c r="A479" t="s">
        <v>517</v>
      </c>
      <c r="B479">
        <v>42</v>
      </c>
      <c r="C479" t="s">
        <v>24</v>
      </c>
      <c r="D479" t="s">
        <v>35</v>
      </c>
      <c r="E479" t="s">
        <v>41</v>
      </c>
      <c r="F479" t="s">
        <v>19</v>
      </c>
      <c r="G479" t="s">
        <v>28</v>
      </c>
      <c r="H479">
        <v>75830</v>
      </c>
      <c r="I479">
        <v>14</v>
      </c>
      <c r="J479">
        <v>5</v>
      </c>
      <c r="K479" t="s">
        <v>21</v>
      </c>
      <c r="L479" t="s">
        <v>47</v>
      </c>
      <c r="M479">
        <v>50</v>
      </c>
      <c r="N479" t="s">
        <v>29</v>
      </c>
      <c r="O479">
        <v>5</v>
      </c>
    </row>
    <row r="480" spans="1:15" x14ac:dyDescent="0.3">
      <c r="A480" t="s">
        <v>518</v>
      </c>
      <c r="B480">
        <v>33</v>
      </c>
      <c r="C480" t="s">
        <v>24</v>
      </c>
      <c r="D480" t="s">
        <v>25</v>
      </c>
      <c r="E480" t="s">
        <v>41</v>
      </c>
      <c r="F480" t="s">
        <v>19</v>
      </c>
      <c r="G480" t="s">
        <v>20</v>
      </c>
      <c r="H480">
        <v>25529</v>
      </c>
      <c r="I480">
        <v>18</v>
      </c>
      <c r="J480">
        <v>2</v>
      </c>
      <c r="K480" t="s">
        <v>29</v>
      </c>
      <c r="L480" t="s">
        <v>47</v>
      </c>
      <c r="M480">
        <v>19</v>
      </c>
      <c r="N480" t="s">
        <v>21</v>
      </c>
      <c r="O480">
        <v>4</v>
      </c>
    </row>
    <row r="481" spans="1:15" x14ac:dyDescent="0.3">
      <c r="A481" t="s">
        <v>519</v>
      </c>
      <c r="B481">
        <v>39</v>
      </c>
      <c r="C481" t="s">
        <v>16</v>
      </c>
      <c r="D481" t="s">
        <v>35</v>
      </c>
      <c r="E481" t="s">
        <v>18</v>
      </c>
      <c r="F481" t="s">
        <v>19</v>
      </c>
      <c r="G481" t="s">
        <v>28</v>
      </c>
      <c r="H481">
        <v>114598</v>
      </c>
      <c r="I481">
        <v>3</v>
      </c>
      <c r="J481">
        <v>5</v>
      </c>
      <c r="K481" t="s">
        <v>21</v>
      </c>
      <c r="L481" t="s">
        <v>30</v>
      </c>
      <c r="M481">
        <v>6</v>
      </c>
      <c r="N481" t="s">
        <v>21</v>
      </c>
      <c r="O481">
        <v>3</v>
      </c>
    </row>
    <row r="482" spans="1:15" x14ac:dyDescent="0.3">
      <c r="A482" t="s">
        <v>520</v>
      </c>
      <c r="B482">
        <v>56</v>
      </c>
      <c r="C482" t="s">
        <v>16</v>
      </c>
      <c r="D482" t="s">
        <v>35</v>
      </c>
      <c r="E482" t="s">
        <v>18</v>
      </c>
      <c r="F482" t="s">
        <v>36</v>
      </c>
      <c r="G482" t="s">
        <v>28</v>
      </c>
      <c r="H482">
        <v>102987</v>
      </c>
      <c r="I482">
        <v>10</v>
      </c>
      <c r="J482">
        <v>2</v>
      </c>
      <c r="K482" t="s">
        <v>21</v>
      </c>
      <c r="L482" t="s">
        <v>22</v>
      </c>
      <c r="M482">
        <v>65</v>
      </c>
      <c r="N482" t="s">
        <v>29</v>
      </c>
      <c r="O482">
        <v>5</v>
      </c>
    </row>
    <row r="483" spans="1:15" x14ac:dyDescent="0.3">
      <c r="A483" t="s">
        <v>521</v>
      </c>
      <c r="B483">
        <v>32</v>
      </c>
      <c r="C483" t="s">
        <v>16</v>
      </c>
      <c r="D483" t="s">
        <v>17</v>
      </c>
      <c r="E483" t="s">
        <v>33</v>
      </c>
      <c r="F483" t="s">
        <v>27</v>
      </c>
      <c r="G483" t="s">
        <v>20</v>
      </c>
      <c r="H483">
        <v>69178</v>
      </c>
      <c r="I483">
        <v>4</v>
      </c>
      <c r="J483">
        <v>7</v>
      </c>
      <c r="K483" t="s">
        <v>29</v>
      </c>
      <c r="L483" t="s">
        <v>30</v>
      </c>
      <c r="M483">
        <v>80</v>
      </c>
      <c r="N483" t="s">
        <v>29</v>
      </c>
      <c r="O483">
        <v>2</v>
      </c>
    </row>
    <row r="484" spans="1:15" x14ac:dyDescent="0.3">
      <c r="A484" t="s">
        <v>522</v>
      </c>
      <c r="B484">
        <v>39</v>
      </c>
      <c r="C484" t="s">
        <v>24</v>
      </c>
      <c r="D484" t="s">
        <v>32</v>
      </c>
      <c r="E484" t="s">
        <v>33</v>
      </c>
      <c r="F484" t="s">
        <v>38</v>
      </c>
      <c r="G484" t="s">
        <v>20</v>
      </c>
      <c r="H484">
        <v>26937</v>
      </c>
      <c r="I484">
        <v>2</v>
      </c>
      <c r="J484">
        <v>3</v>
      </c>
      <c r="K484" t="s">
        <v>21</v>
      </c>
      <c r="L484" t="s">
        <v>22</v>
      </c>
      <c r="M484">
        <v>68</v>
      </c>
      <c r="N484" t="s">
        <v>21</v>
      </c>
      <c r="O484">
        <v>1</v>
      </c>
    </row>
    <row r="485" spans="1:15" x14ac:dyDescent="0.3">
      <c r="A485" t="s">
        <v>523</v>
      </c>
      <c r="B485">
        <v>32</v>
      </c>
      <c r="C485" t="s">
        <v>16</v>
      </c>
      <c r="D485" t="s">
        <v>44</v>
      </c>
      <c r="E485" t="s">
        <v>18</v>
      </c>
      <c r="F485" t="s">
        <v>38</v>
      </c>
      <c r="G485" t="s">
        <v>28</v>
      </c>
      <c r="H485">
        <v>59886</v>
      </c>
      <c r="I485">
        <v>12</v>
      </c>
      <c r="J485">
        <v>9</v>
      </c>
      <c r="K485" t="s">
        <v>21</v>
      </c>
      <c r="L485" t="s">
        <v>45</v>
      </c>
      <c r="M485">
        <v>56</v>
      </c>
      <c r="N485" t="s">
        <v>29</v>
      </c>
      <c r="O485">
        <v>1</v>
      </c>
    </row>
    <row r="486" spans="1:15" x14ac:dyDescent="0.3">
      <c r="A486" t="s">
        <v>524</v>
      </c>
      <c r="B486">
        <v>29</v>
      </c>
      <c r="C486" t="s">
        <v>16</v>
      </c>
      <c r="D486" t="s">
        <v>17</v>
      </c>
      <c r="E486" t="s">
        <v>33</v>
      </c>
      <c r="F486" t="s">
        <v>27</v>
      </c>
      <c r="G486" t="s">
        <v>20</v>
      </c>
      <c r="H486">
        <v>69699</v>
      </c>
      <c r="I486">
        <v>9</v>
      </c>
      <c r="J486">
        <v>5</v>
      </c>
      <c r="K486" t="s">
        <v>21</v>
      </c>
      <c r="L486" t="s">
        <v>47</v>
      </c>
      <c r="M486">
        <v>40</v>
      </c>
      <c r="N486" t="s">
        <v>21</v>
      </c>
      <c r="O486">
        <v>3</v>
      </c>
    </row>
    <row r="487" spans="1:15" x14ac:dyDescent="0.3">
      <c r="A487" t="s">
        <v>525</v>
      </c>
      <c r="B487">
        <v>27</v>
      </c>
      <c r="C487" t="s">
        <v>24</v>
      </c>
      <c r="D487" t="s">
        <v>25</v>
      </c>
      <c r="E487" t="s">
        <v>50</v>
      </c>
      <c r="F487" t="s">
        <v>27</v>
      </c>
      <c r="G487" t="s">
        <v>20</v>
      </c>
      <c r="H487">
        <v>96396</v>
      </c>
      <c r="I487">
        <v>10</v>
      </c>
      <c r="J487">
        <v>8</v>
      </c>
      <c r="K487" t="s">
        <v>21</v>
      </c>
      <c r="L487" t="s">
        <v>45</v>
      </c>
      <c r="M487">
        <v>71</v>
      </c>
      <c r="N487" t="s">
        <v>29</v>
      </c>
      <c r="O487">
        <v>4</v>
      </c>
    </row>
    <row r="488" spans="1:15" x14ac:dyDescent="0.3">
      <c r="A488" t="s">
        <v>526</v>
      </c>
      <c r="B488">
        <v>48</v>
      </c>
      <c r="C488" t="s">
        <v>16</v>
      </c>
      <c r="D488" t="s">
        <v>32</v>
      </c>
      <c r="E488" t="s">
        <v>41</v>
      </c>
      <c r="F488" t="s">
        <v>27</v>
      </c>
      <c r="G488" t="s">
        <v>20</v>
      </c>
      <c r="H488">
        <v>110678</v>
      </c>
      <c r="I488">
        <v>17</v>
      </c>
      <c r="J488">
        <v>1</v>
      </c>
      <c r="K488" t="s">
        <v>21</v>
      </c>
      <c r="L488" t="s">
        <v>47</v>
      </c>
      <c r="M488">
        <v>73</v>
      </c>
      <c r="N488" t="s">
        <v>21</v>
      </c>
      <c r="O488">
        <v>2</v>
      </c>
    </row>
    <row r="489" spans="1:15" x14ac:dyDescent="0.3">
      <c r="A489" t="s">
        <v>527</v>
      </c>
      <c r="B489">
        <v>34</v>
      </c>
      <c r="C489" t="s">
        <v>16</v>
      </c>
      <c r="D489" t="s">
        <v>25</v>
      </c>
      <c r="E489" t="s">
        <v>41</v>
      </c>
      <c r="F489" t="s">
        <v>36</v>
      </c>
      <c r="G489" t="s">
        <v>20</v>
      </c>
      <c r="H489">
        <v>45279</v>
      </c>
      <c r="I489">
        <v>1</v>
      </c>
      <c r="J489">
        <v>1</v>
      </c>
      <c r="K489" t="s">
        <v>29</v>
      </c>
      <c r="L489" t="s">
        <v>45</v>
      </c>
      <c r="M489">
        <v>71</v>
      </c>
      <c r="N489" t="s">
        <v>21</v>
      </c>
      <c r="O489">
        <v>5</v>
      </c>
    </row>
    <row r="490" spans="1:15" x14ac:dyDescent="0.3">
      <c r="A490" t="s">
        <v>528</v>
      </c>
      <c r="B490">
        <v>51</v>
      </c>
      <c r="C490" t="s">
        <v>16</v>
      </c>
      <c r="D490" t="s">
        <v>32</v>
      </c>
      <c r="E490" t="s">
        <v>18</v>
      </c>
      <c r="F490" t="s">
        <v>38</v>
      </c>
      <c r="G490" t="s">
        <v>28</v>
      </c>
      <c r="H490">
        <v>58106</v>
      </c>
      <c r="I490">
        <v>6</v>
      </c>
      <c r="J490">
        <v>6</v>
      </c>
      <c r="K490" t="s">
        <v>21</v>
      </c>
      <c r="L490" t="s">
        <v>30</v>
      </c>
      <c r="M490">
        <v>51</v>
      </c>
      <c r="N490" t="s">
        <v>21</v>
      </c>
      <c r="O490">
        <v>4</v>
      </c>
    </row>
    <row r="491" spans="1:15" x14ac:dyDescent="0.3">
      <c r="A491" t="s">
        <v>529</v>
      </c>
      <c r="B491">
        <v>39</v>
      </c>
      <c r="C491" t="s">
        <v>24</v>
      </c>
      <c r="D491" t="s">
        <v>25</v>
      </c>
      <c r="E491" t="s">
        <v>26</v>
      </c>
      <c r="F491" t="s">
        <v>27</v>
      </c>
      <c r="G491" t="s">
        <v>20</v>
      </c>
      <c r="H491">
        <v>99737</v>
      </c>
      <c r="I491">
        <v>8</v>
      </c>
      <c r="J491">
        <v>1</v>
      </c>
      <c r="K491" t="s">
        <v>29</v>
      </c>
      <c r="L491" t="s">
        <v>45</v>
      </c>
      <c r="M491">
        <v>87</v>
      </c>
      <c r="N491" t="s">
        <v>21</v>
      </c>
      <c r="O491">
        <v>3</v>
      </c>
    </row>
    <row r="492" spans="1:15" x14ac:dyDescent="0.3">
      <c r="A492" t="s">
        <v>530</v>
      </c>
      <c r="B492">
        <v>36</v>
      </c>
      <c r="C492" t="s">
        <v>24</v>
      </c>
      <c r="D492" t="s">
        <v>17</v>
      </c>
      <c r="E492" t="s">
        <v>18</v>
      </c>
      <c r="F492" t="s">
        <v>36</v>
      </c>
      <c r="G492" t="s">
        <v>20</v>
      </c>
      <c r="H492">
        <v>60544</v>
      </c>
      <c r="I492">
        <v>9</v>
      </c>
      <c r="J492">
        <v>1</v>
      </c>
      <c r="K492" t="s">
        <v>21</v>
      </c>
      <c r="L492" t="s">
        <v>45</v>
      </c>
      <c r="M492">
        <v>6</v>
      </c>
      <c r="N492" t="s">
        <v>29</v>
      </c>
      <c r="O492">
        <v>4</v>
      </c>
    </row>
    <row r="493" spans="1:15" x14ac:dyDescent="0.3">
      <c r="A493" t="s">
        <v>531</v>
      </c>
      <c r="B493">
        <v>25</v>
      </c>
      <c r="C493" t="s">
        <v>24</v>
      </c>
      <c r="D493" t="s">
        <v>32</v>
      </c>
      <c r="E493" t="s">
        <v>33</v>
      </c>
      <c r="F493" t="s">
        <v>38</v>
      </c>
      <c r="G493" t="s">
        <v>20</v>
      </c>
      <c r="H493">
        <v>28997</v>
      </c>
      <c r="I493">
        <v>17</v>
      </c>
      <c r="J493">
        <v>3</v>
      </c>
      <c r="K493" t="s">
        <v>21</v>
      </c>
      <c r="L493" t="s">
        <v>30</v>
      </c>
      <c r="M493">
        <v>48</v>
      </c>
      <c r="N493" t="s">
        <v>21</v>
      </c>
      <c r="O493">
        <v>3</v>
      </c>
    </row>
    <row r="494" spans="1:15" x14ac:dyDescent="0.3">
      <c r="A494" t="s">
        <v>532</v>
      </c>
      <c r="B494">
        <v>55</v>
      </c>
      <c r="C494" t="s">
        <v>24</v>
      </c>
      <c r="D494" t="s">
        <v>32</v>
      </c>
      <c r="E494" t="s">
        <v>26</v>
      </c>
      <c r="F494" t="s">
        <v>19</v>
      </c>
      <c r="G494" t="s">
        <v>28</v>
      </c>
      <c r="H494">
        <v>105711</v>
      </c>
      <c r="I494">
        <v>6</v>
      </c>
      <c r="J494">
        <v>8</v>
      </c>
      <c r="K494" t="s">
        <v>29</v>
      </c>
      <c r="L494" t="s">
        <v>47</v>
      </c>
      <c r="M494">
        <v>68</v>
      </c>
      <c r="N494" t="s">
        <v>29</v>
      </c>
      <c r="O494">
        <v>1</v>
      </c>
    </row>
    <row r="495" spans="1:15" x14ac:dyDescent="0.3">
      <c r="A495" t="s">
        <v>533</v>
      </c>
      <c r="B495">
        <v>32</v>
      </c>
      <c r="C495" t="s">
        <v>16</v>
      </c>
      <c r="D495" t="s">
        <v>35</v>
      </c>
      <c r="E495" t="s">
        <v>33</v>
      </c>
      <c r="F495" t="s">
        <v>36</v>
      </c>
      <c r="G495" t="s">
        <v>28</v>
      </c>
      <c r="H495">
        <v>60860</v>
      </c>
      <c r="I495">
        <v>6</v>
      </c>
      <c r="J495">
        <v>7</v>
      </c>
      <c r="K495" t="s">
        <v>29</v>
      </c>
      <c r="L495" t="s">
        <v>47</v>
      </c>
      <c r="M495">
        <v>85</v>
      </c>
      <c r="N495" t="s">
        <v>21</v>
      </c>
      <c r="O495">
        <v>1</v>
      </c>
    </row>
    <row r="496" spans="1:15" x14ac:dyDescent="0.3">
      <c r="A496" t="s">
        <v>534</v>
      </c>
      <c r="B496">
        <v>45</v>
      </c>
      <c r="C496" t="s">
        <v>24</v>
      </c>
      <c r="D496" t="s">
        <v>35</v>
      </c>
      <c r="E496" t="s">
        <v>50</v>
      </c>
      <c r="F496" t="s">
        <v>38</v>
      </c>
      <c r="G496" t="s">
        <v>20</v>
      </c>
      <c r="H496">
        <v>23225</v>
      </c>
      <c r="I496">
        <v>2</v>
      </c>
      <c r="J496">
        <v>1</v>
      </c>
      <c r="K496" t="s">
        <v>21</v>
      </c>
      <c r="L496" t="s">
        <v>30</v>
      </c>
      <c r="M496">
        <v>82</v>
      </c>
      <c r="N496" t="s">
        <v>21</v>
      </c>
      <c r="O496">
        <v>4</v>
      </c>
    </row>
    <row r="497" spans="1:15" x14ac:dyDescent="0.3">
      <c r="A497" t="s">
        <v>535</v>
      </c>
      <c r="B497">
        <v>41</v>
      </c>
      <c r="C497" t="s">
        <v>24</v>
      </c>
      <c r="D497" t="s">
        <v>40</v>
      </c>
      <c r="E497" t="s">
        <v>33</v>
      </c>
      <c r="F497" t="s">
        <v>36</v>
      </c>
      <c r="G497" t="s">
        <v>20</v>
      </c>
      <c r="H497">
        <v>79470</v>
      </c>
      <c r="I497">
        <v>11</v>
      </c>
      <c r="J497">
        <v>7</v>
      </c>
      <c r="K497" t="s">
        <v>21</v>
      </c>
      <c r="L497" t="s">
        <v>45</v>
      </c>
      <c r="M497">
        <v>32</v>
      </c>
      <c r="N497" t="s">
        <v>29</v>
      </c>
      <c r="O497">
        <v>2</v>
      </c>
    </row>
    <row r="498" spans="1:15" x14ac:dyDescent="0.3">
      <c r="A498" t="s">
        <v>536</v>
      </c>
      <c r="B498">
        <v>56</v>
      </c>
      <c r="C498" t="s">
        <v>16</v>
      </c>
      <c r="D498" t="s">
        <v>25</v>
      </c>
      <c r="E498" t="s">
        <v>50</v>
      </c>
      <c r="F498" t="s">
        <v>38</v>
      </c>
      <c r="G498" t="s">
        <v>28</v>
      </c>
      <c r="H498">
        <v>83656</v>
      </c>
      <c r="I498">
        <v>6</v>
      </c>
      <c r="J498">
        <v>3</v>
      </c>
      <c r="K498" t="s">
        <v>29</v>
      </c>
      <c r="L498" t="s">
        <v>45</v>
      </c>
      <c r="M498">
        <v>95</v>
      </c>
      <c r="N498" t="s">
        <v>29</v>
      </c>
      <c r="O498">
        <v>5</v>
      </c>
    </row>
    <row r="499" spans="1:15" x14ac:dyDescent="0.3">
      <c r="A499" t="s">
        <v>537</v>
      </c>
      <c r="B499">
        <v>43</v>
      </c>
      <c r="C499" t="s">
        <v>16</v>
      </c>
      <c r="D499" t="s">
        <v>35</v>
      </c>
      <c r="E499" t="s">
        <v>50</v>
      </c>
      <c r="F499" t="s">
        <v>38</v>
      </c>
      <c r="G499" t="s">
        <v>20</v>
      </c>
      <c r="H499">
        <v>71880</v>
      </c>
      <c r="I499">
        <v>16</v>
      </c>
      <c r="J499">
        <v>1</v>
      </c>
      <c r="K499" t="s">
        <v>29</v>
      </c>
      <c r="L499" t="s">
        <v>45</v>
      </c>
      <c r="M499">
        <v>58</v>
      </c>
      <c r="N499" t="s">
        <v>29</v>
      </c>
      <c r="O499">
        <v>3</v>
      </c>
    </row>
    <row r="500" spans="1:15" x14ac:dyDescent="0.3">
      <c r="A500" t="s">
        <v>538</v>
      </c>
      <c r="B500">
        <v>36</v>
      </c>
      <c r="C500" t="s">
        <v>16</v>
      </c>
      <c r="D500" t="s">
        <v>40</v>
      </c>
      <c r="E500" t="s">
        <v>33</v>
      </c>
      <c r="F500" t="s">
        <v>19</v>
      </c>
      <c r="G500" t="s">
        <v>20</v>
      </c>
      <c r="H500">
        <v>81078</v>
      </c>
      <c r="I500">
        <v>0</v>
      </c>
      <c r="J500">
        <v>9</v>
      </c>
      <c r="K500" t="s">
        <v>29</v>
      </c>
      <c r="L500" t="s">
        <v>22</v>
      </c>
      <c r="M500">
        <v>78</v>
      </c>
      <c r="N500" t="s">
        <v>21</v>
      </c>
      <c r="O500">
        <v>5</v>
      </c>
    </row>
    <row r="501" spans="1:15" x14ac:dyDescent="0.3">
      <c r="A501" t="s">
        <v>539</v>
      </c>
      <c r="B501">
        <v>59</v>
      </c>
      <c r="C501" t="s">
        <v>24</v>
      </c>
      <c r="D501" t="s">
        <v>35</v>
      </c>
      <c r="E501" t="s">
        <v>33</v>
      </c>
      <c r="F501" t="s">
        <v>36</v>
      </c>
      <c r="G501" t="s">
        <v>28</v>
      </c>
      <c r="H501">
        <v>108646</v>
      </c>
      <c r="I501">
        <v>4</v>
      </c>
      <c r="J501">
        <v>6</v>
      </c>
      <c r="K501" t="s">
        <v>29</v>
      </c>
      <c r="L501" t="s">
        <v>47</v>
      </c>
      <c r="M501">
        <v>71</v>
      </c>
      <c r="N501" t="s">
        <v>21</v>
      </c>
      <c r="O501">
        <v>1</v>
      </c>
    </row>
    <row r="502" spans="1:15" x14ac:dyDescent="0.3">
      <c r="A502" t="s">
        <v>540</v>
      </c>
      <c r="B502">
        <v>59</v>
      </c>
      <c r="C502" t="s">
        <v>24</v>
      </c>
      <c r="D502" t="s">
        <v>25</v>
      </c>
      <c r="E502" t="s">
        <v>50</v>
      </c>
      <c r="F502" t="s">
        <v>27</v>
      </c>
      <c r="G502" t="s">
        <v>20</v>
      </c>
      <c r="H502">
        <v>96290</v>
      </c>
      <c r="I502">
        <v>15</v>
      </c>
      <c r="J502">
        <v>5</v>
      </c>
      <c r="K502" t="s">
        <v>21</v>
      </c>
      <c r="L502" t="s">
        <v>45</v>
      </c>
      <c r="M502">
        <v>40</v>
      </c>
      <c r="N502" t="s">
        <v>29</v>
      </c>
      <c r="O502">
        <v>2</v>
      </c>
    </row>
    <row r="503" spans="1:15" x14ac:dyDescent="0.3">
      <c r="A503" t="s">
        <v>541</v>
      </c>
      <c r="B503">
        <v>34</v>
      </c>
      <c r="C503" t="s">
        <v>24</v>
      </c>
      <c r="D503" t="s">
        <v>32</v>
      </c>
      <c r="E503" t="s">
        <v>26</v>
      </c>
      <c r="F503" t="s">
        <v>19</v>
      </c>
      <c r="G503" t="s">
        <v>20</v>
      </c>
      <c r="H503">
        <v>76633</v>
      </c>
      <c r="I503">
        <v>14</v>
      </c>
      <c r="J503">
        <v>9</v>
      </c>
      <c r="K503" t="s">
        <v>21</v>
      </c>
      <c r="L503" t="s">
        <v>47</v>
      </c>
      <c r="M503">
        <v>67</v>
      </c>
      <c r="N503" t="s">
        <v>21</v>
      </c>
      <c r="O503">
        <v>2</v>
      </c>
    </row>
    <row r="504" spans="1:15" x14ac:dyDescent="0.3">
      <c r="A504" t="s">
        <v>542</v>
      </c>
      <c r="B504">
        <v>51</v>
      </c>
      <c r="C504" t="s">
        <v>16</v>
      </c>
      <c r="D504" t="s">
        <v>44</v>
      </c>
      <c r="E504" t="s">
        <v>50</v>
      </c>
      <c r="F504" t="s">
        <v>19</v>
      </c>
      <c r="G504" t="s">
        <v>28</v>
      </c>
      <c r="H504">
        <v>46655</v>
      </c>
      <c r="I504">
        <v>1</v>
      </c>
      <c r="J504">
        <v>4</v>
      </c>
      <c r="K504" t="s">
        <v>21</v>
      </c>
      <c r="L504" t="s">
        <v>45</v>
      </c>
      <c r="M504">
        <v>29</v>
      </c>
      <c r="N504" t="s">
        <v>29</v>
      </c>
      <c r="O504">
        <v>5</v>
      </c>
    </row>
    <row r="505" spans="1:15" x14ac:dyDescent="0.3">
      <c r="A505" t="s">
        <v>543</v>
      </c>
      <c r="B505">
        <v>25</v>
      </c>
      <c r="C505" t="s">
        <v>16</v>
      </c>
      <c r="D505" t="s">
        <v>25</v>
      </c>
      <c r="E505" t="s">
        <v>41</v>
      </c>
      <c r="F505" t="s">
        <v>38</v>
      </c>
      <c r="G505" t="s">
        <v>28</v>
      </c>
      <c r="H505">
        <v>63601</v>
      </c>
      <c r="I505">
        <v>8</v>
      </c>
      <c r="J505">
        <v>0</v>
      </c>
      <c r="K505" t="s">
        <v>21</v>
      </c>
      <c r="L505" t="s">
        <v>30</v>
      </c>
      <c r="M505">
        <v>90</v>
      </c>
      <c r="N505" t="s">
        <v>21</v>
      </c>
      <c r="O505">
        <v>1</v>
      </c>
    </row>
    <row r="506" spans="1:15" x14ac:dyDescent="0.3">
      <c r="A506" t="s">
        <v>544</v>
      </c>
      <c r="B506">
        <v>55</v>
      </c>
      <c r="C506" t="s">
        <v>24</v>
      </c>
      <c r="D506" t="s">
        <v>17</v>
      </c>
      <c r="E506" t="s">
        <v>50</v>
      </c>
      <c r="F506" t="s">
        <v>27</v>
      </c>
      <c r="G506" t="s">
        <v>20</v>
      </c>
      <c r="H506">
        <v>23114</v>
      </c>
      <c r="I506">
        <v>6</v>
      </c>
      <c r="J506">
        <v>1</v>
      </c>
      <c r="K506" t="s">
        <v>21</v>
      </c>
      <c r="L506" t="s">
        <v>30</v>
      </c>
      <c r="M506">
        <v>52</v>
      </c>
      <c r="N506" t="s">
        <v>21</v>
      </c>
      <c r="O506">
        <v>5</v>
      </c>
    </row>
    <row r="507" spans="1:15" x14ac:dyDescent="0.3">
      <c r="A507" t="s">
        <v>545</v>
      </c>
      <c r="B507">
        <v>43</v>
      </c>
      <c r="C507" t="s">
        <v>16</v>
      </c>
      <c r="D507" t="s">
        <v>35</v>
      </c>
      <c r="E507" t="s">
        <v>26</v>
      </c>
      <c r="F507" t="s">
        <v>36</v>
      </c>
      <c r="G507" t="s">
        <v>28</v>
      </c>
      <c r="H507">
        <v>46502</v>
      </c>
      <c r="I507">
        <v>3</v>
      </c>
      <c r="J507">
        <v>7</v>
      </c>
      <c r="K507" t="s">
        <v>29</v>
      </c>
      <c r="L507" t="s">
        <v>47</v>
      </c>
      <c r="M507">
        <v>43</v>
      </c>
      <c r="N507" t="s">
        <v>21</v>
      </c>
      <c r="O507">
        <v>4</v>
      </c>
    </row>
    <row r="508" spans="1:15" x14ac:dyDescent="0.3">
      <c r="A508" t="s">
        <v>546</v>
      </c>
      <c r="B508">
        <v>49</v>
      </c>
      <c r="C508" t="s">
        <v>16</v>
      </c>
      <c r="D508" t="s">
        <v>35</v>
      </c>
      <c r="E508" t="s">
        <v>41</v>
      </c>
      <c r="F508" t="s">
        <v>27</v>
      </c>
      <c r="G508" t="s">
        <v>20</v>
      </c>
      <c r="H508">
        <v>69768</v>
      </c>
      <c r="I508">
        <v>19</v>
      </c>
      <c r="J508">
        <v>0</v>
      </c>
      <c r="K508" t="s">
        <v>29</v>
      </c>
      <c r="L508" t="s">
        <v>47</v>
      </c>
      <c r="M508">
        <v>51</v>
      </c>
      <c r="N508" t="s">
        <v>29</v>
      </c>
      <c r="O508">
        <v>2</v>
      </c>
    </row>
    <row r="509" spans="1:15" x14ac:dyDescent="0.3">
      <c r="A509" t="s">
        <v>547</v>
      </c>
      <c r="B509">
        <v>31</v>
      </c>
      <c r="C509" t="s">
        <v>16</v>
      </c>
      <c r="D509" t="s">
        <v>32</v>
      </c>
      <c r="E509" t="s">
        <v>18</v>
      </c>
      <c r="F509" t="s">
        <v>27</v>
      </c>
      <c r="G509" t="s">
        <v>20</v>
      </c>
      <c r="H509">
        <v>68128</v>
      </c>
      <c r="I509">
        <v>17</v>
      </c>
      <c r="J509">
        <v>2</v>
      </c>
      <c r="K509" t="s">
        <v>29</v>
      </c>
      <c r="L509" t="s">
        <v>30</v>
      </c>
      <c r="M509">
        <v>98</v>
      </c>
      <c r="N509" t="s">
        <v>21</v>
      </c>
      <c r="O509">
        <v>2</v>
      </c>
    </row>
    <row r="510" spans="1:15" x14ac:dyDescent="0.3">
      <c r="A510" t="s">
        <v>548</v>
      </c>
      <c r="B510">
        <v>38</v>
      </c>
      <c r="C510" t="s">
        <v>24</v>
      </c>
      <c r="D510" t="s">
        <v>17</v>
      </c>
      <c r="E510" t="s">
        <v>18</v>
      </c>
      <c r="F510" t="s">
        <v>27</v>
      </c>
      <c r="G510" t="s">
        <v>20</v>
      </c>
      <c r="H510">
        <v>40028</v>
      </c>
      <c r="I510">
        <v>3</v>
      </c>
      <c r="J510">
        <v>1</v>
      </c>
      <c r="K510" t="s">
        <v>21</v>
      </c>
      <c r="L510" t="s">
        <v>22</v>
      </c>
      <c r="M510">
        <v>25</v>
      </c>
      <c r="N510" t="s">
        <v>29</v>
      </c>
      <c r="O510">
        <v>4</v>
      </c>
    </row>
    <row r="511" spans="1:15" x14ac:dyDescent="0.3">
      <c r="A511" t="s">
        <v>549</v>
      </c>
      <c r="B511">
        <v>32</v>
      </c>
      <c r="C511" t="s">
        <v>16</v>
      </c>
      <c r="D511" t="s">
        <v>32</v>
      </c>
      <c r="E511" t="s">
        <v>26</v>
      </c>
      <c r="F511" t="s">
        <v>27</v>
      </c>
      <c r="G511" t="s">
        <v>28</v>
      </c>
      <c r="H511">
        <v>75565</v>
      </c>
      <c r="I511">
        <v>12</v>
      </c>
      <c r="J511">
        <v>4</v>
      </c>
      <c r="K511" t="s">
        <v>29</v>
      </c>
      <c r="L511" t="s">
        <v>30</v>
      </c>
      <c r="M511">
        <v>34</v>
      </c>
      <c r="N511" t="s">
        <v>29</v>
      </c>
      <c r="O511">
        <v>1</v>
      </c>
    </row>
    <row r="512" spans="1:15" x14ac:dyDescent="0.3">
      <c r="A512" t="s">
        <v>550</v>
      </c>
      <c r="B512">
        <v>29</v>
      </c>
      <c r="C512" t="s">
        <v>16</v>
      </c>
      <c r="D512" t="s">
        <v>17</v>
      </c>
      <c r="E512" t="s">
        <v>50</v>
      </c>
      <c r="F512" t="s">
        <v>27</v>
      </c>
      <c r="G512" t="s">
        <v>28</v>
      </c>
      <c r="H512">
        <v>103123</v>
      </c>
      <c r="I512">
        <v>0</v>
      </c>
      <c r="J512">
        <v>3</v>
      </c>
      <c r="K512" t="s">
        <v>21</v>
      </c>
      <c r="L512" t="s">
        <v>45</v>
      </c>
      <c r="M512">
        <v>96</v>
      </c>
      <c r="N512" t="s">
        <v>21</v>
      </c>
      <c r="O512">
        <v>2</v>
      </c>
    </row>
    <row r="513" spans="1:15" x14ac:dyDescent="0.3">
      <c r="A513" t="s">
        <v>551</v>
      </c>
      <c r="B513">
        <v>30</v>
      </c>
      <c r="C513" t="s">
        <v>24</v>
      </c>
      <c r="D513" t="s">
        <v>44</v>
      </c>
      <c r="E513" t="s">
        <v>33</v>
      </c>
      <c r="F513" t="s">
        <v>38</v>
      </c>
      <c r="G513" t="s">
        <v>20</v>
      </c>
      <c r="H513">
        <v>55333</v>
      </c>
      <c r="I513">
        <v>2</v>
      </c>
      <c r="J513">
        <v>6</v>
      </c>
      <c r="K513" t="s">
        <v>21</v>
      </c>
      <c r="L513" t="s">
        <v>22</v>
      </c>
      <c r="M513">
        <v>35</v>
      </c>
      <c r="N513" t="s">
        <v>29</v>
      </c>
      <c r="O513">
        <v>3</v>
      </c>
    </row>
    <row r="514" spans="1:15" x14ac:dyDescent="0.3">
      <c r="A514" t="s">
        <v>552</v>
      </c>
      <c r="B514">
        <v>37</v>
      </c>
      <c r="C514" t="s">
        <v>24</v>
      </c>
      <c r="D514" t="s">
        <v>35</v>
      </c>
      <c r="E514" t="s">
        <v>26</v>
      </c>
      <c r="F514" t="s">
        <v>38</v>
      </c>
      <c r="G514" t="s">
        <v>20</v>
      </c>
      <c r="H514">
        <v>23174</v>
      </c>
      <c r="I514">
        <v>15</v>
      </c>
      <c r="J514">
        <v>4</v>
      </c>
      <c r="K514" t="s">
        <v>21</v>
      </c>
      <c r="L514" t="s">
        <v>30</v>
      </c>
      <c r="M514">
        <v>30</v>
      </c>
      <c r="N514" t="s">
        <v>29</v>
      </c>
      <c r="O514">
        <v>3</v>
      </c>
    </row>
    <row r="515" spans="1:15" x14ac:dyDescent="0.3">
      <c r="A515" t="s">
        <v>553</v>
      </c>
      <c r="B515">
        <v>58</v>
      </c>
      <c r="C515" t="s">
        <v>16</v>
      </c>
      <c r="D515" t="s">
        <v>35</v>
      </c>
      <c r="E515" t="s">
        <v>41</v>
      </c>
      <c r="F515" t="s">
        <v>19</v>
      </c>
      <c r="G515" t="s">
        <v>28</v>
      </c>
      <c r="H515">
        <v>55398</v>
      </c>
      <c r="I515">
        <v>3</v>
      </c>
      <c r="J515">
        <v>7</v>
      </c>
      <c r="K515" t="s">
        <v>29</v>
      </c>
      <c r="L515" t="s">
        <v>22</v>
      </c>
      <c r="M515">
        <v>26</v>
      </c>
      <c r="N515" t="s">
        <v>21</v>
      </c>
      <c r="O515">
        <v>1</v>
      </c>
    </row>
    <row r="516" spans="1:15" x14ac:dyDescent="0.3">
      <c r="A516" t="s">
        <v>554</v>
      </c>
      <c r="B516">
        <v>27</v>
      </c>
      <c r="C516" t="s">
        <v>16</v>
      </c>
      <c r="D516" t="s">
        <v>44</v>
      </c>
      <c r="E516" t="s">
        <v>41</v>
      </c>
      <c r="F516" t="s">
        <v>38</v>
      </c>
      <c r="G516" t="s">
        <v>28</v>
      </c>
      <c r="H516">
        <v>55929</v>
      </c>
      <c r="I516">
        <v>15</v>
      </c>
      <c r="J516">
        <v>3</v>
      </c>
      <c r="K516" t="s">
        <v>21</v>
      </c>
      <c r="L516" t="s">
        <v>22</v>
      </c>
      <c r="M516">
        <v>25</v>
      </c>
      <c r="N516" t="s">
        <v>29</v>
      </c>
      <c r="O516">
        <v>4</v>
      </c>
    </row>
    <row r="517" spans="1:15" x14ac:dyDescent="0.3">
      <c r="A517" t="s">
        <v>555</v>
      </c>
      <c r="B517">
        <v>33</v>
      </c>
      <c r="C517" t="s">
        <v>24</v>
      </c>
      <c r="D517" t="s">
        <v>40</v>
      </c>
      <c r="E517" t="s">
        <v>18</v>
      </c>
      <c r="F517" t="s">
        <v>19</v>
      </c>
      <c r="G517" t="s">
        <v>28</v>
      </c>
      <c r="H517">
        <v>24321</v>
      </c>
      <c r="I517">
        <v>18</v>
      </c>
      <c r="J517">
        <v>5</v>
      </c>
      <c r="K517" t="s">
        <v>21</v>
      </c>
      <c r="L517" t="s">
        <v>22</v>
      </c>
      <c r="M517">
        <v>5</v>
      </c>
      <c r="N517" t="s">
        <v>29</v>
      </c>
      <c r="O517">
        <v>5</v>
      </c>
    </row>
    <row r="518" spans="1:15" x14ac:dyDescent="0.3">
      <c r="A518" t="s">
        <v>556</v>
      </c>
      <c r="B518">
        <v>29</v>
      </c>
      <c r="C518" t="s">
        <v>24</v>
      </c>
      <c r="D518" t="s">
        <v>32</v>
      </c>
      <c r="E518" t="s">
        <v>41</v>
      </c>
      <c r="F518" t="s">
        <v>19</v>
      </c>
      <c r="G518" t="s">
        <v>20</v>
      </c>
      <c r="H518">
        <v>115971</v>
      </c>
      <c r="I518">
        <v>0</v>
      </c>
      <c r="J518">
        <v>3</v>
      </c>
      <c r="K518" t="s">
        <v>29</v>
      </c>
      <c r="L518" t="s">
        <v>47</v>
      </c>
      <c r="M518">
        <v>41</v>
      </c>
      <c r="N518" t="s">
        <v>21</v>
      </c>
      <c r="O518">
        <v>1</v>
      </c>
    </row>
    <row r="519" spans="1:15" x14ac:dyDescent="0.3">
      <c r="A519" t="s">
        <v>557</v>
      </c>
      <c r="B519">
        <v>47</v>
      </c>
      <c r="C519" t="s">
        <v>16</v>
      </c>
      <c r="D519" t="s">
        <v>44</v>
      </c>
      <c r="E519" t="s">
        <v>26</v>
      </c>
      <c r="F519" t="s">
        <v>36</v>
      </c>
      <c r="G519" t="s">
        <v>28</v>
      </c>
      <c r="H519">
        <v>75421</v>
      </c>
      <c r="I519">
        <v>4</v>
      </c>
      <c r="J519">
        <v>1</v>
      </c>
      <c r="K519" t="s">
        <v>21</v>
      </c>
      <c r="L519" t="s">
        <v>30</v>
      </c>
      <c r="M519">
        <v>81</v>
      </c>
      <c r="N519" t="s">
        <v>21</v>
      </c>
      <c r="O519">
        <v>5</v>
      </c>
    </row>
    <row r="520" spans="1:15" x14ac:dyDescent="0.3">
      <c r="A520" t="s">
        <v>558</v>
      </c>
      <c r="B520">
        <v>22</v>
      </c>
      <c r="C520" t="s">
        <v>16</v>
      </c>
      <c r="D520" t="s">
        <v>32</v>
      </c>
      <c r="E520" t="s">
        <v>41</v>
      </c>
      <c r="F520" t="s">
        <v>27</v>
      </c>
      <c r="G520" t="s">
        <v>28</v>
      </c>
      <c r="H520">
        <v>92635</v>
      </c>
      <c r="I520">
        <v>18</v>
      </c>
      <c r="J520">
        <v>0</v>
      </c>
      <c r="K520" t="s">
        <v>29</v>
      </c>
      <c r="L520" t="s">
        <v>47</v>
      </c>
      <c r="M520">
        <v>89</v>
      </c>
      <c r="N520" t="s">
        <v>21</v>
      </c>
      <c r="O520">
        <v>1</v>
      </c>
    </row>
    <row r="521" spans="1:15" x14ac:dyDescent="0.3">
      <c r="A521" t="s">
        <v>559</v>
      </c>
      <c r="B521">
        <v>25</v>
      </c>
      <c r="C521" t="s">
        <v>16</v>
      </c>
      <c r="D521" t="s">
        <v>25</v>
      </c>
      <c r="E521" t="s">
        <v>26</v>
      </c>
      <c r="F521" t="s">
        <v>38</v>
      </c>
      <c r="G521" t="s">
        <v>20</v>
      </c>
      <c r="H521">
        <v>43760</v>
      </c>
      <c r="I521">
        <v>10</v>
      </c>
      <c r="J521">
        <v>0</v>
      </c>
      <c r="K521" t="s">
        <v>21</v>
      </c>
      <c r="L521" t="s">
        <v>47</v>
      </c>
      <c r="M521">
        <v>50</v>
      </c>
      <c r="N521" t="s">
        <v>29</v>
      </c>
      <c r="O521">
        <v>3</v>
      </c>
    </row>
    <row r="522" spans="1:15" x14ac:dyDescent="0.3">
      <c r="A522" t="s">
        <v>560</v>
      </c>
      <c r="B522">
        <v>49</v>
      </c>
      <c r="C522" t="s">
        <v>16</v>
      </c>
      <c r="D522" t="s">
        <v>35</v>
      </c>
      <c r="E522" t="s">
        <v>33</v>
      </c>
      <c r="F522" t="s">
        <v>36</v>
      </c>
      <c r="G522" t="s">
        <v>20</v>
      </c>
      <c r="H522">
        <v>31360</v>
      </c>
      <c r="I522">
        <v>12</v>
      </c>
      <c r="J522">
        <v>7</v>
      </c>
      <c r="K522" t="s">
        <v>29</v>
      </c>
      <c r="L522" t="s">
        <v>45</v>
      </c>
      <c r="M522">
        <v>13</v>
      </c>
      <c r="N522" t="s">
        <v>29</v>
      </c>
      <c r="O522">
        <v>4</v>
      </c>
    </row>
    <row r="523" spans="1:15" x14ac:dyDescent="0.3">
      <c r="A523" t="s">
        <v>561</v>
      </c>
      <c r="B523">
        <v>57</v>
      </c>
      <c r="C523" t="s">
        <v>24</v>
      </c>
      <c r="D523" t="s">
        <v>32</v>
      </c>
      <c r="E523" t="s">
        <v>18</v>
      </c>
      <c r="F523" t="s">
        <v>38</v>
      </c>
      <c r="G523" t="s">
        <v>20</v>
      </c>
      <c r="H523">
        <v>30313</v>
      </c>
      <c r="I523">
        <v>19</v>
      </c>
      <c r="J523">
        <v>3</v>
      </c>
      <c r="K523" t="s">
        <v>21</v>
      </c>
      <c r="L523" t="s">
        <v>45</v>
      </c>
      <c r="M523">
        <v>21</v>
      </c>
      <c r="N523" t="s">
        <v>21</v>
      </c>
      <c r="O523">
        <v>3</v>
      </c>
    </row>
    <row r="524" spans="1:15" x14ac:dyDescent="0.3">
      <c r="A524" t="s">
        <v>562</v>
      </c>
      <c r="B524">
        <v>58</v>
      </c>
      <c r="C524" t="s">
        <v>16</v>
      </c>
      <c r="D524" t="s">
        <v>17</v>
      </c>
      <c r="E524" t="s">
        <v>41</v>
      </c>
      <c r="F524" t="s">
        <v>19</v>
      </c>
      <c r="G524" t="s">
        <v>28</v>
      </c>
      <c r="H524">
        <v>105998</v>
      </c>
      <c r="I524">
        <v>4</v>
      </c>
      <c r="J524">
        <v>4</v>
      </c>
      <c r="K524" t="s">
        <v>21</v>
      </c>
      <c r="L524" t="s">
        <v>22</v>
      </c>
      <c r="M524">
        <v>51</v>
      </c>
      <c r="N524" t="s">
        <v>29</v>
      </c>
      <c r="O524">
        <v>4</v>
      </c>
    </row>
    <row r="525" spans="1:15" x14ac:dyDescent="0.3">
      <c r="A525" t="s">
        <v>563</v>
      </c>
      <c r="B525">
        <v>39</v>
      </c>
      <c r="C525" t="s">
        <v>16</v>
      </c>
      <c r="D525" t="s">
        <v>32</v>
      </c>
      <c r="E525" t="s">
        <v>26</v>
      </c>
      <c r="F525" t="s">
        <v>38</v>
      </c>
      <c r="G525" t="s">
        <v>20</v>
      </c>
      <c r="H525">
        <v>25801</v>
      </c>
      <c r="I525">
        <v>3</v>
      </c>
      <c r="J525">
        <v>7</v>
      </c>
      <c r="K525" t="s">
        <v>29</v>
      </c>
      <c r="L525" t="s">
        <v>22</v>
      </c>
      <c r="M525">
        <v>89</v>
      </c>
      <c r="N525" t="s">
        <v>21</v>
      </c>
      <c r="O525">
        <v>5</v>
      </c>
    </row>
    <row r="526" spans="1:15" x14ac:dyDescent="0.3">
      <c r="A526" t="s">
        <v>564</v>
      </c>
      <c r="B526">
        <v>28</v>
      </c>
      <c r="C526" t="s">
        <v>24</v>
      </c>
      <c r="D526" t="s">
        <v>25</v>
      </c>
      <c r="E526" t="s">
        <v>50</v>
      </c>
      <c r="F526" t="s">
        <v>27</v>
      </c>
      <c r="G526" t="s">
        <v>20</v>
      </c>
      <c r="H526">
        <v>34130</v>
      </c>
      <c r="I526">
        <v>3</v>
      </c>
      <c r="J526">
        <v>6</v>
      </c>
      <c r="K526" t="s">
        <v>21</v>
      </c>
      <c r="L526" t="s">
        <v>45</v>
      </c>
      <c r="M526">
        <v>99</v>
      </c>
      <c r="N526" t="s">
        <v>21</v>
      </c>
      <c r="O526">
        <v>1</v>
      </c>
    </row>
    <row r="527" spans="1:15" x14ac:dyDescent="0.3">
      <c r="A527" t="s">
        <v>565</v>
      </c>
      <c r="B527">
        <v>21</v>
      </c>
      <c r="C527" t="s">
        <v>16</v>
      </c>
      <c r="D527" t="s">
        <v>35</v>
      </c>
      <c r="E527" t="s">
        <v>18</v>
      </c>
      <c r="F527" t="s">
        <v>19</v>
      </c>
      <c r="G527" t="s">
        <v>20</v>
      </c>
      <c r="H527">
        <v>34271</v>
      </c>
      <c r="I527">
        <v>3</v>
      </c>
      <c r="J527">
        <v>7</v>
      </c>
      <c r="K527" t="s">
        <v>29</v>
      </c>
      <c r="L527" t="s">
        <v>45</v>
      </c>
      <c r="M527">
        <v>63</v>
      </c>
      <c r="N527" t="s">
        <v>21</v>
      </c>
      <c r="O527">
        <v>2</v>
      </c>
    </row>
    <row r="528" spans="1:15" x14ac:dyDescent="0.3">
      <c r="A528" t="s">
        <v>566</v>
      </c>
      <c r="B528">
        <v>42</v>
      </c>
      <c r="C528" t="s">
        <v>24</v>
      </c>
      <c r="D528" t="s">
        <v>44</v>
      </c>
      <c r="E528" t="s">
        <v>33</v>
      </c>
      <c r="F528" t="s">
        <v>19</v>
      </c>
      <c r="G528" t="s">
        <v>20</v>
      </c>
      <c r="H528">
        <v>36075</v>
      </c>
      <c r="I528">
        <v>3</v>
      </c>
      <c r="J528">
        <v>7</v>
      </c>
      <c r="K528" t="s">
        <v>21</v>
      </c>
      <c r="L528" t="s">
        <v>30</v>
      </c>
      <c r="M528">
        <v>58</v>
      </c>
      <c r="N528" t="s">
        <v>29</v>
      </c>
      <c r="O528">
        <v>2</v>
      </c>
    </row>
    <row r="529" spans="1:15" x14ac:dyDescent="0.3">
      <c r="A529" t="s">
        <v>567</v>
      </c>
      <c r="B529">
        <v>37</v>
      </c>
      <c r="C529" t="s">
        <v>16</v>
      </c>
      <c r="D529" t="s">
        <v>25</v>
      </c>
      <c r="E529" t="s">
        <v>26</v>
      </c>
      <c r="F529" t="s">
        <v>36</v>
      </c>
      <c r="G529" t="s">
        <v>28</v>
      </c>
      <c r="H529">
        <v>38984</v>
      </c>
      <c r="I529">
        <v>19</v>
      </c>
      <c r="J529">
        <v>5</v>
      </c>
      <c r="K529" t="s">
        <v>29</v>
      </c>
      <c r="L529" t="s">
        <v>22</v>
      </c>
      <c r="M529">
        <v>90</v>
      </c>
      <c r="N529" t="s">
        <v>29</v>
      </c>
      <c r="O529">
        <v>4</v>
      </c>
    </row>
    <row r="530" spans="1:15" x14ac:dyDescent="0.3">
      <c r="A530" t="s">
        <v>568</v>
      </c>
      <c r="B530">
        <v>27</v>
      </c>
      <c r="C530" t="s">
        <v>16</v>
      </c>
      <c r="D530" t="s">
        <v>35</v>
      </c>
      <c r="E530" t="s">
        <v>33</v>
      </c>
      <c r="F530" t="s">
        <v>27</v>
      </c>
      <c r="G530" t="s">
        <v>20</v>
      </c>
      <c r="H530">
        <v>108095</v>
      </c>
      <c r="I530">
        <v>17</v>
      </c>
      <c r="J530">
        <v>9</v>
      </c>
      <c r="K530" t="s">
        <v>21</v>
      </c>
      <c r="L530" t="s">
        <v>22</v>
      </c>
      <c r="M530">
        <v>16</v>
      </c>
      <c r="N530" t="s">
        <v>21</v>
      </c>
      <c r="O530">
        <v>4</v>
      </c>
    </row>
    <row r="531" spans="1:15" x14ac:dyDescent="0.3">
      <c r="A531" t="s">
        <v>569</v>
      </c>
      <c r="B531">
        <v>45</v>
      </c>
      <c r="C531" t="s">
        <v>24</v>
      </c>
      <c r="D531" t="s">
        <v>32</v>
      </c>
      <c r="E531" t="s">
        <v>33</v>
      </c>
      <c r="F531" t="s">
        <v>19</v>
      </c>
      <c r="G531" t="s">
        <v>28</v>
      </c>
      <c r="H531">
        <v>80942</v>
      </c>
      <c r="I531">
        <v>17</v>
      </c>
      <c r="J531">
        <v>1</v>
      </c>
      <c r="K531" t="s">
        <v>21</v>
      </c>
      <c r="L531" t="s">
        <v>45</v>
      </c>
      <c r="M531">
        <v>68</v>
      </c>
      <c r="N531" t="s">
        <v>21</v>
      </c>
      <c r="O531">
        <v>3</v>
      </c>
    </row>
    <row r="532" spans="1:15" x14ac:dyDescent="0.3">
      <c r="A532" t="s">
        <v>570</v>
      </c>
      <c r="B532">
        <v>24</v>
      </c>
      <c r="C532" t="s">
        <v>24</v>
      </c>
      <c r="D532" t="s">
        <v>40</v>
      </c>
      <c r="E532" t="s">
        <v>41</v>
      </c>
      <c r="F532" t="s">
        <v>27</v>
      </c>
      <c r="G532" t="s">
        <v>28</v>
      </c>
      <c r="H532">
        <v>32861</v>
      </c>
      <c r="I532">
        <v>15</v>
      </c>
      <c r="J532">
        <v>5</v>
      </c>
      <c r="K532" t="s">
        <v>21</v>
      </c>
      <c r="L532" t="s">
        <v>30</v>
      </c>
      <c r="M532">
        <v>10</v>
      </c>
      <c r="N532" t="s">
        <v>29</v>
      </c>
      <c r="O532">
        <v>2</v>
      </c>
    </row>
    <row r="533" spans="1:15" x14ac:dyDescent="0.3">
      <c r="A533" t="s">
        <v>571</v>
      </c>
      <c r="B533">
        <v>56</v>
      </c>
      <c r="C533" t="s">
        <v>16</v>
      </c>
      <c r="D533" t="s">
        <v>40</v>
      </c>
      <c r="E533" t="s">
        <v>41</v>
      </c>
      <c r="F533" t="s">
        <v>38</v>
      </c>
      <c r="G533" t="s">
        <v>28</v>
      </c>
      <c r="H533">
        <v>118970</v>
      </c>
      <c r="I533">
        <v>8</v>
      </c>
      <c r="J533">
        <v>0</v>
      </c>
      <c r="K533" t="s">
        <v>29</v>
      </c>
      <c r="L533" t="s">
        <v>45</v>
      </c>
      <c r="M533">
        <v>57</v>
      </c>
      <c r="N533" t="s">
        <v>21</v>
      </c>
      <c r="O533">
        <v>3</v>
      </c>
    </row>
    <row r="534" spans="1:15" x14ac:dyDescent="0.3">
      <c r="A534" t="s">
        <v>572</v>
      </c>
      <c r="B534">
        <v>26</v>
      </c>
      <c r="C534" t="s">
        <v>16</v>
      </c>
      <c r="D534" t="s">
        <v>17</v>
      </c>
      <c r="E534" t="s">
        <v>26</v>
      </c>
      <c r="F534" t="s">
        <v>27</v>
      </c>
      <c r="G534" t="s">
        <v>20</v>
      </c>
      <c r="H534">
        <v>102203</v>
      </c>
      <c r="I534">
        <v>17</v>
      </c>
      <c r="J534">
        <v>0</v>
      </c>
      <c r="K534" t="s">
        <v>29</v>
      </c>
      <c r="L534" t="s">
        <v>45</v>
      </c>
      <c r="M534">
        <v>20</v>
      </c>
      <c r="N534" t="s">
        <v>29</v>
      </c>
      <c r="O534">
        <v>5</v>
      </c>
    </row>
    <row r="535" spans="1:15" x14ac:dyDescent="0.3">
      <c r="A535" t="s">
        <v>573</v>
      </c>
      <c r="B535">
        <v>51</v>
      </c>
      <c r="C535" t="s">
        <v>16</v>
      </c>
      <c r="D535" t="s">
        <v>35</v>
      </c>
      <c r="E535" t="s">
        <v>50</v>
      </c>
      <c r="F535" t="s">
        <v>19</v>
      </c>
      <c r="G535" t="s">
        <v>28</v>
      </c>
      <c r="H535">
        <v>91376</v>
      </c>
      <c r="I535">
        <v>1</v>
      </c>
      <c r="J535">
        <v>2</v>
      </c>
      <c r="K535" t="s">
        <v>29</v>
      </c>
      <c r="L535" t="s">
        <v>47</v>
      </c>
      <c r="M535">
        <v>94</v>
      </c>
      <c r="N535" t="s">
        <v>21</v>
      </c>
      <c r="O535">
        <v>2</v>
      </c>
    </row>
    <row r="536" spans="1:15" x14ac:dyDescent="0.3">
      <c r="A536" t="s">
        <v>574</v>
      </c>
      <c r="B536">
        <v>39</v>
      </c>
      <c r="C536" t="s">
        <v>24</v>
      </c>
      <c r="D536" t="s">
        <v>40</v>
      </c>
      <c r="E536" t="s">
        <v>26</v>
      </c>
      <c r="F536" t="s">
        <v>36</v>
      </c>
      <c r="G536" t="s">
        <v>20</v>
      </c>
      <c r="H536">
        <v>81247</v>
      </c>
      <c r="I536">
        <v>3</v>
      </c>
      <c r="J536">
        <v>2</v>
      </c>
      <c r="K536" t="s">
        <v>29</v>
      </c>
      <c r="L536" t="s">
        <v>22</v>
      </c>
      <c r="M536">
        <v>9</v>
      </c>
      <c r="N536" t="s">
        <v>21</v>
      </c>
      <c r="O536">
        <v>5</v>
      </c>
    </row>
    <row r="537" spans="1:15" x14ac:dyDescent="0.3">
      <c r="A537" t="s">
        <v>575</v>
      </c>
      <c r="B537">
        <v>59</v>
      </c>
      <c r="C537" t="s">
        <v>16</v>
      </c>
      <c r="D537" t="s">
        <v>44</v>
      </c>
      <c r="E537" t="s">
        <v>50</v>
      </c>
      <c r="F537" t="s">
        <v>19</v>
      </c>
      <c r="G537" t="s">
        <v>20</v>
      </c>
      <c r="H537">
        <v>89101</v>
      </c>
      <c r="I537">
        <v>11</v>
      </c>
      <c r="J537">
        <v>4</v>
      </c>
      <c r="K537" t="s">
        <v>29</v>
      </c>
      <c r="L537" t="s">
        <v>30</v>
      </c>
      <c r="M537">
        <v>77</v>
      </c>
      <c r="N537" t="s">
        <v>29</v>
      </c>
      <c r="O537">
        <v>1</v>
      </c>
    </row>
    <row r="538" spans="1:15" x14ac:dyDescent="0.3">
      <c r="A538" t="s">
        <v>576</v>
      </c>
      <c r="B538">
        <v>47</v>
      </c>
      <c r="C538" t="s">
        <v>24</v>
      </c>
      <c r="D538" t="s">
        <v>35</v>
      </c>
      <c r="E538" t="s">
        <v>33</v>
      </c>
      <c r="F538" t="s">
        <v>27</v>
      </c>
      <c r="G538" t="s">
        <v>20</v>
      </c>
      <c r="H538">
        <v>40977</v>
      </c>
      <c r="I538">
        <v>6</v>
      </c>
      <c r="J538">
        <v>0</v>
      </c>
      <c r="K538" t="s">
        <v>21</v>
      </c>
      <c r="L538" t="s">
        <v>47</v>
      </c>
      <c r="M538">
        <v>50</v>
      </c>
      <c r="N538" t="s">
        <v>29</v>
      </c>
      <c r="O538">
        <v>3</v>
      </c>
    </row>
    <row r="539" spans="1:15" x14ac:dyDescent="0.3">
      <c r="A539" t="s">
        <v>577</v>
      </c>
      <c r="B539">
        <v>30</v>
      </c>
      <c r="C539" t="s">
        <v>24</v>
      </c>
      <c r="D539" t="s">
        <v>44</v>
      </c>
      <c r="E539" t="s">
        <v>18</v>
      </c>
      <c r="F539" t="s">
        <v>27</v>
      </c>
      <c r="G539" t="s">
        <v>28</v>
      </c>
      <c r="H539">
        <v>70617</v>
      </c>
      <c r="I539">
        <v>14</v>
      </c>
      <c r="J539">
        <v>9</v>
      </c>
      <c r="K539" t="s">
        <v>21</v>
      </c>
      <c r="L539" t="s">
        <v>22</v>
      </c>
      <c r="M539">
        <v>18</v>
      </c>
      <c r="N539" t="s">
        <v>29</v>
      </c>
      <c r="O539">
        <v>4</v>
      </c>
    </row>
    <row r="540" spans="1:15" x14ac:dyDescent="0.3">
      <c r="A540" t="s">
        <v>578</v>
      </c>
      <c r="B540">
        <v>46</v>
      </c>
      <c r="C540" t="s">
        <v>16</v>
      </c>
      <c r="D540" t="s">
        <v>44</v>
      </c>
      <c r="E540" t="s">
        <v>26</v>
      </c>
      <c r="F540" t="s">
        <v>19</v>
      </c>
      <c r="G540" t="s">
        <v>20</v>
      </c>
      <c r="H540">
        <v>77473</v>
      </c>
      <c r="I540">
        <v>6</v>
      </c>
      <c r="J540">
        <v>5</v>
      </c>
      <c r="K540" t="s">
        <v>21</v>
      </c>
      <c r="L540" t="s">
        <v>45</v>
      </c>
      <c r="M540">
        <v>48</v>
      </c>
      <c r="N540" t="s">
        <v>29</v>
      </c>
      <c r="O540">
        <v>2</v>
      </c>
    </row>
    <row r="541" spans="1:15" x14ac:dyDescent="0.3">
      <c r="A541" t="s">
        <v>579</v>
      </c>
      <c r="B541">
        <v>39</v>
      </c>
      <c r="C541" t="s">
        <v>24</v>
      </c>
      <c r="D541" t="s">
        <v>40</v>
      </c>
      <c r="E541" t="s">
        <v>26</v>
      </c>
      <c r="F541" t="s">
        <v>27</v>
      </c>
      <c r="G541" t="s">
        <v>20</v>
      </c>
      <c r="H541">
        <v>106654</v>
      </c>
      <c r="I541">
        <v>16</v>
      </c>
      <c r="J541">
        <v>6</v>
      </c>
      <c r="K541" t="s">
        <v>21</v>
      </c>
      <c r="L541" t="s">
        <v>30</v>
      </c>
      <c r="M541">
        <v>67</v>
      </c>
      <c r="N541" t="s">
        <v>29</v>
      </c>
      <c r="O541">
        <v>3</v>
      </c>
    </row>
    <row r="542" spans="1:15" x14ac:dyDescent="0.3">
      <c r="A542" t="s">
        <v>580</v>
      </c>
      <c r="B542">
        <v>59</v>
      </c>
      <c r="C542" t="s">
        <v>16</v>
      </c>
      <c r="D542" t="s">
        <v>35</v>
      </c>
      <c r="E542" t="s">
        <v>50</v>
      </c>
      <c r="F542" t="s">
        <v>38</v>
      </c>
      <c r="G542" t="s">
        <v>20</v>
      </c>
      <c r="H542">
        <v>108177</v>
      </c>
      <c r="I542">
        <v>15</v>
      </c>
      <c r="J542">
        <v>9</v>
      </c>
      <c r="K542" t="s">
        <v>21</v>
      </c>
      <c r="L542" t="s">
        <v>22</v>
      </c>
      <c r="M542">
        <v>98</v>
      </c>
      <c r="N542" t="s">
        <v>21</v>
      </c>
      <c r="O542">
        <v>4</v>
      </c>
    </row>
    <row r="543" spans="1:15" x14ac:dyDescent="0.3">
      <c r="A543" t="s">
        <v>581</v>
      </c>
      <c r="B543">
        <v>23</v>
      </c>
      <c r="C543" t="s">
        <v>16</v>
      </c>
      <c r="D543" t="s">
        <v>32</v>
      </c>
      <c r="E543" t="s">
        <v>33</v>
      </c>
      <c r="F543" t="s">
        <v>19</v>
      </c>
      <c r="G543" t="s">
        <v>28</v>
      </c>
      <c r="H543">
        <v>92902</v>
      </c>
      <c r="I543">
        <v>18</v>
      </c>
      <c r="J543">
        <v>2</v>
      </c>
      <c r="K543" t="s">
        <v>29</v>
      </c>
      <c r="L543" t="s">
        <v>45</v>
      </c>
      <c r="M543">
        <v>56</v>
      </c>
      <c r="N543" t="s">
        <v>21</v>
      </c>
      <c r="O543">
        <v>1</v>
      </c>
    </row>
    <row r="544" spans="1:15" x14ac:dyDescent="0.3">
      <c r="A544" t="s">
        <v>582</v>
      </c>
      <c r="B544">
        <v>33</v>
      </c>
      <c r="C544" t="s">
        <v>16</v>
      </c>
      <c r="D544" t="s">
        <v>25</v>
      </c>
      <c r="E544" t="s">
        <v>33</v>
      </c>
      <c r="F544" t="s">
        <v>36</v>
      </c>
      <c r="G544" t="s">
        <v>28</v>
      </c>
      <c r="H544">
        <v>112172</v>
      </c>
      <c r="I544">
        <v>8</v>
      </c>
      <c r="J544">
        <v>3</v>
      </c>
      <c r="K544" t="s">
        <v>21</v>
      </c>
      <c r="L544" t="s">
        <v>47</v>
      </c>
      <c r="M544">
        <v>30</v>
      </c>
      <c r="N544" t="s">
        <v>29</v>
      </c>
      <c r="O544">
        <v>2</v>
      </c>
    </row>
    <row r="545" spans="1:15" x14ac:dyDescent="0.3">
      <c r="A545" t="s">
        <v>583</v>
      </c>
      <c r="B545">
        <v>48</v>
      </c>
      <c r="C545" t="s">
        <v>16</v>
      </c>
      <c r="D545" t="s">
        <v>40</v>
      </c>
      <c r="E545" t="s">
        <v>50</v>
      </c>
      <c r="F545" t="s">
        <v>19</v>
      </c>
      <c r="G545" t="s">
        <v>28</v>
      </c>
      <c r="H545">
        <v>35630</v>
      </c>
      <c r="I545">
        <v>13</v>
      </c>
      <c r="J545">
        <v>9</v>
      </c>
      <c r="K545" t="s">
        <v>29</v>
      </c>
      <c r="L545" t="s">
        <v>30</v>
      </c>
      <c r="M545">
        <v>57</v>
      </c>
      <c r="N545" t="s">
        <v>29</v>
      </c>
      <c r="O545">
        <v>5</v>
      </c>
    </row>
    <row r="546" spans="1:15" x14ac:dyDescent="0.3">
      <c r="A546" t="s">
        <v>584</v>
      </c>
      <c r="B546">
        <v>40</v>
      </c>
      <c r="C546" t="s">
        <v>16</v>
      </c>
      <c r="D546" t="s">
        <v>40</v>
      </c>
      <c r="E546" t="s">
        <v>33</v>
      </c>
      <c r="F546" t="s">
        <v>38</v>
      </c>
      <c r="G546" t="s">
        <v>20</v>
      </c>
      <c r="H546">
        <v>40056</v>
      </c>
      <c r="I546">
        <v>16</v>
      </c>
      <c r="J546">
        <v>9</v>
      </c>
      <c r="K546" t="s">
        <v>21</v>
      </c>
      <c r="L546" t="s">
        <v>22</v>
      </c>
      <c r="M546">
        <v>33</v>
      </c>
      <c r="N546" t="s">
        <v>21</v>
      </c>
      <c r="O546">
        <v>1</v>
      </c>
    </row>
    <row r="547" spans="1:15" x14ac:dyDescent="0.3">
      <c r="A547" t="s">
        <v>585</v>
      </c>
      <c r="B547">
        <v>48</v>
      </c>
      <c r="C547" t="s">
        <v>24</v>
      </c>
      <c r="D547" t="s">
        <v>32</v>
      </c>
      <c r="E547" t="s">
        <v>41</v>
      </c>
      <c r="F547" t="s">
        <v>38</v>
      </c>
      <c r="G547" t="s">
        <v>28</v>
      </c>
      <c r="H547">
        <v>27382</v>
      </c>
      <c r="I547">
        <v>4</v>
      </c>
      <c r="J547">
        <v>9</v>
      </c>
      <c r="K547" t="s">
        <v>29</v>
      </c>
      <c r="L547" t="s">
        <v>47</v>
      </c>
      <c r="M547">
        <v>23</v>
      </c>
      <c r="N547" t="s">
        <v>21</v>
      </c>
      <c r="O547">
        <v>4</v>
      </c>
    </row>
    <row r="548" spans="1:15" x14ac:dyDescent="0.3">
      <c r="A548" t="s">
        <v>586</v>
      </c>
      <c r="B548">
        <v>28</v>
      </c>
      <c r="C548" t="s">
        <v>24</v>
      </c>
      <c r="D548" t="s">
        <v>35</v>
      </c>
      <c r="E548" t="s">
        <v>18</v>
      </c>
      <c r="F548" t="s">
        <v>38</v>
      </c>
      <c r="G548" t="s">
        <v>20</v>
      </c>
      <c r="H548">
        <v>75739</v>
      </c>
      <c r="I548">
        <v>1</v>
      </c>
      <c r="J548">
        <v>9</v>
      </c>
      <c r="K548" t="s">
        <v>29</v>
      </c>
      <c r="L548" t="s">
        <v>45</v>
      </c>
      <c r="M548">
        <v>51</v>
      </c>
      <c r="N548" t="s">
        <v>29</v>
      </c>
      <c r="O548">
        <v>2</v>
      </c>
    </row>
    <row r="549" spans="1:15" x14ac:dyDescent="0.3">
      <c r="A549" t="s">
        <v>587</v>
      </c>
      <c r="B549">
        <v>59</v>
      </c>
      <c r="C549" t="s">
        <v>16</v>
      </c>
      <c r="D549" t="s">
        <v>35</v>
      </c>
      <c r="E549" t="s">
        <v>26</v>
      </c>
      <c r="F549" t="s">
        <v>38</v>
      </c>
      <c r="G549" t="s">
        <v>20</v>
      </c>
      <c r="H549">
        <v>101685</v>
      </c>
      <c r="I549">
        <v>19</v>
      </c>
      <c r="J549">
        <v>9</v>
      </c>
      <c r="K549" t="s">
        <v>29</v>
      </c>
      <c r="L549" t="s">
        <v>45</v>
      </c>
      <c r="M549">
        <v>12</v>
      </c>
      <c r="N549" t="s">
        <v>29</v>
      </c>
      <c r="O549">
        <v>2</v>
      </c>
    </row>
    <row r="550" spans="1:15" x14ac:dyDescent="0.3">
      <c r="A550" t="s">
        <v>588</v>
      </c>
      <c r="B550">
        <v>21</v>
      </c>
      <c r="C550" t="s">
        <v>16</v>
      </c>
      <c r="D550" t="s">
        <v>44</v>
      </c>
      <c r="E550" t="s">
        <v>18</v>
      </c>
      <c r="F550" t="s">
        <v>38</v>
      </c>
      <c r="G550" t="s">
        <v>28</v>
      </c>
      <c r="H550">
        <v>68639</v>
      </c>
      <c r="I550">
        <v>15</v>
      </c>
      <c r="J550">
        <v>2</v>
      </c>
      <c r="K550" t="s">
        <v>21</v>
      </c>
      <c r="L550" t="s">
        <v>22</v>
      </c>
      <c r="M550">
        <v>27</v>
      </c>
      <c r="N550" t="s">
        <v>21</v>
      </c>
      <c r="O550">
        <v>1</v>
      </c>
    </row>
    <row r="551" spans="1:15" x14ac:dyDescent="0.3">
      <c r="A551" t="s">
        <v>589</v>
      </c>
      <c r="B551">
        <v>23</v>
      </c>
      <c r="C551" t="s">
        <v>24</v>
      </c>
      <c r="D551" t="s">
        <v>32</v>
      </c>
      <c r="E551" t="s">
        <v>26</v>
      </c>
      <c r="F551" t="s">
        <v>36</v>
      </c>
      <c r="G551" t="s">
        <v>20</v>
      </c>
      <c r="H551">
        <v>79838</v>
      </c>
      <c r="I551">
        <v>13</v>
      </c>
      <c r="J551">
        <v>0</v>
      </c>
      <c r="K551" t="s">
        <v>21</v>
      </c>
      <c r="L551" t="s">
        <v>45</v>
      </c>
      <c r="M551">
        <v>39</v>
      </c>
      <c r="N551" t="s">
        <v>29</v>
      </c>
      <c r="O551">
        <v>2</v>
      </c>
    </row>
    <row r="552" spans="1:15" x14ac:dyDescent="0.3">
      <c r="A552" t="s">
        <v>590</v>
      </c>
      <c r="B552">
        <v>33</v>
      </c>
      <c r="C552" t="s">
        <v>24</v>
      </c>
      <c r="D552" t="s">
        <v>32</v>
      </c>
      <c r="E552" t="s">
        <v>41</v>
      </c>
      <c r="F552" t="s">
        <v>27</v>
      </c>
      <c r="G552" t="s">
        <v>28</v>
      </c>
      <c r="H552">
        <v>66041</v>
      </c>
      <c r="I552">
        <v>13</v>
      </c>
      <c r="J552">
        <v>7</v>
      </c>
      <c r="K552" t="s">
        <v>21</v>
      </c>
      <c r="L552" t="s">
        <v>30</v>
      </c>
      <c r="M552">
        <v>99</v>
      </c>
      <c r="N552" t="s">
        <v>21</v>
      </c>
      <c r="O552">
        <v>4</v>
      </c>
    </row>
    <row r="553" spans="1:15" x14ac:dyDescent="0.3">
      <c r="A553" t="s">
        <v>591</v>
      </c>
      <c r="B553">
        <v>48</v>
      </c>
      <c r="C553" t="s">
        <v>24</v>
      </c>
      <c r="D553" t="s">
        <v>35</v>
      </c>
      <c r="E553" t="s">
        <v>33</v>
      </c>
      <c r="F553" t="s">
        <v>38</v>
      </c>
      <c r="G553" t="s">
        <v>20</v>
      </c>
      <c r="H553">
        <v>20992</v>
      </c>
      <c r="I553">
        <v>0</v>
      </c>
      <c r="J553">
        <v>9</v>
      </c>
      <c r="K553" t="s">
        <v>21</v>
      </c>
      <c r="L553" t="s">
        <v>22</v>
      </c>
      <c r="M553">
        <v>57</v>
      </c>
      <c r="N553" t="s">
        <v>21</v>
      </c>
      <c r="O553">
        <v>1</v>
      </c>
    </row>
    <row r="554" spans="1:15" x14ac:dyDescent="0.3">
      <c r="A554" t="s">
        <v>592</v>
      </c>
      <c r="B554">
        <v>45</v>
      </c>
      <c r="C554" t="s">
        <v>24</v>
      </c>
      <c r="D554" t="s">
        <v>44</v>
      </c>
      <c r="E554" t="s">
        <v>50</v>
      </c>
      <c r="F554" t="s">
        <v>38</v>
      </c>
      <c r="G554" t="s">
        <v>28</v>
      </c>
      <c r="H554">
        <v>92394</v>
      </c>
      <c r="I554">
        <v>2</v>
      </c>
      <c r="J554">
        <v>9</v>
      </c>
      <c r="K554" t="s">
        <v>29</v>
      </c>
      <c r="L554" t="s">
        <v>47</v>
      </c>
      <c r="M554">
        <v>62</v>
      </c>
      <c r="N554" t="s">
        <v>29</v>
      </c>
      <c r="O554">
        <v>5</v>
      </c>
    </row>
    <row r="555" spans="1:15" x14ac:dyDescent="0.3">
      <c r="A555" t="s">
        <v>593</v>
      </c>
      <c r="B555">
        <v>53</v>
      </c>
      <c r="C555" t="s">
        <v>16</v>
      </c>
      <c r="D555" t="s">
        <v>40</v>
      </c>
      <c r="E555" t="s">
        <v>41</v>
      </c>
      <c r="F555" t="s">
        <v>19</v>
      </c>
      <c r="G555" t="s">
        <v>20</v>
      </c>
      <c r="H555">
        <v>87657</v>
      </c>
      <c r="I555">
        <v>6</v>
      </c>
      <c r="J555">
        <v>1</v>
      </c>
      <c r="K555" t="s">
        <v>29</v>
      </c>
      <c r="L555" t="s">
        <v>22</v>
      </c>
      <c r="M555">
        <v>9</v>
      </c>
      <c r="N555" t="s">
        <v>21</v>
      </c>
      <c r="O555">
        <v>1</v>
      </c>
    </row>
    <row r="556" spans="1:15" x14ac:dyDescent="0.3">
      <c r="A556" t="s">
        <v>594</v>
      </c>
      <c r="B556">
        <v>58</v>
      </c>
      <c r="C556" t="s">
        <v>16</v>
      </c>
      <c r="D556" t="s">
        <v>17</v>
      </c>
      <c r="E556" t="s">
        <v>18</v>
      </c>
      <c r="F556" t="s">
        <v>36</v>
      </c>
      <c r="G556" t="s">
        <v>20</v>
      </c>
      <c r="H556">
        <v>47160</v>
      </c>
      <c r="I556">
        <v>14</v>
      </c>
      <c r="J556">
        <v>0</v>
      </c>
      <c r="K556" t="s">
        <v>29</v>
      </c>
      <c r="L556" t="s">
        <v>22</v>
      </c>
      <c r="M556">
        <v>20</v>
      </c>
      <c r="N556" t="s">
        <v>21</v>
      </c>
      <c r="O556">
        <v>1</v>
      </c>
    </row>
    <row r="557" spans="1:15" x14ac:dyDescent="0.3">
      <c r="A557" t="s">
        <v>595</v>
      </c>
      <c r="B557">
        <v>26</v>
      </c>
      <c r="C557" t="s">
        <v>24</v>
      </c>
      <c r="D557" t="s">
        <v>25</v>
      </c>
      <c r="E557" t="s">
        <v>50</v>
      </c>
      <c r="F557" t="s">
        <v>36</v>
      </c>
      <c r="G557" t="s">
        <v>20</v>
      </c>
      <c r="H557">
        <v>65156</v>
      </c>
      <c r="I557">
        <v>18</v>
      </c>
      <c r="J557">
        <v>7</v>
      </c>
      <c r="K557" t="s">
        <v>29</v>
      </c>
      <c r="L557" t="s">
        <v>47</v>
      </c>
      <c r="M557">
        <v>21</v>
      </c>
      <c r="N557" t="s">
        <v>21</v>
      </c>
      <c r="O557">
        <v>5</v>
      </c>
    </row>
    <row r="558" spans="1:15" x14ac:dyDescent="0.3">
      <c r="A558" t="s">
        <v>596</v>
      </c>
      <c r="B558">
        <v>52</v>
      </c>
      <c r="C558" t="s">
        <v>16</v>
      </c>
      <c r="D558" t="s">
        <v>40</v>
      </c>
      <c r="E558" t="s">
        <v>33</v>
      </c>
      <c r="F558" t="s">
        <v>27</v>
      </c>
      <c r="G558" t="s">
        <v>20</v>
      </c>
      <c r="H558">
        <v>71375</v>
      </c>
      <c r="I558">
        <v>19</v>
      </c>
      <c r="J558">
        <v>6</v>
      </c>
      <c r="K558" t="s">
        <v>21</v>
      </c>
      <c r="L558" t="s">
        <v>45</v>
      </c>
      <c r="M558">
        <v>36</v>
      </c>
      <c r="N558" t="s">
        <v>29</v>
      </c>
      <c r="O558">
        <v>4</v>
      </c>
    </row>
    <row r="559" spans="1:15" x14ac:dyDescent="0.3">
      <c r="A559" t="s">
        <v>597</v>
      </c>
      <c r="B559">
        <v>41</v>
      </c>
      <c r="C559" t="s">
        <v>24</v>
      </c>
      <c r="D559" t="s">
        <v>35</v>
      </c>
      <c r="E559" t="s">
        <v>41</v>
      </c>
      <c r="F559" t="s">
        <v>36</v>
      </c>
      <c r="G559" t="s">
        <v>20</v>
      </c>
      <c r="H559">
        <v>106442</v>
      </c>
      <c r="I559">
        <v>1</v>
      </c>
      <c r="J559">
        <v>6</v>
      </c>
      <c r="K559" t="s">
        <v>29</v>
      </c>
      <c r="L559" t="s">
        <v>47</v>
      </c>
      <c r="M559">
        <v>56</v>
      </c>
      <c r="N559" t="s">
        <v>21</v>
      </c>
      <c r="O559">
        <v>3</v>
      </c>
    </row>
    <row r="560" spans="1:15" x14ac:dyDescent="0.3">
      <c r="A560" t="s">
        <v>598</v>
      </c>
      <c r="B560">
        <v>36</v>
      </c>
      <c r="C560" t="s">
        <v>16</v>
      </c>
      <c r="D560" t="s">
        <v>25</v>
      </c>
      <c r="E560" t="s">
        <v>50</v>
      </c>
      <c r="F560" t="s">
        <v>19</v>
      </c>
      <c r="G560" t="s">
        <v>28</v>
      </c>
      <c r="H560">
        <v>39572</v>
      </c>
      <c r="I560">
        <v>18</v>
      </c>
      <c r="J560">
        <v>3</v>
      </c>
      <c r="K560" t="s">
        <v>21</v>
      </c>
      <c r="L560" t="s">
        <v>30</v>
      </c>
      <c r="M560">
        <v>24</v>
      </c>
      <c r="N560" t="s">
        <v>29</v>
      </c>
      <c r="O560">
        <v>3</v>
      </c>
    </row>
    <row r="561" spans="1:15" x14ac:dyDescent="0.3">
      <c r="A561" t="s">
        <v>599</v>
      </c>
      <c r="B561">
        <v>41</v>
      </c>
      <c r="C561" t="s">
        <v>24</v>
      </c>
      <c r="D561" t="s">
        <v>17</v>
      </c>
      <c r="E561" t="s">
        <v>41</v>
      </c>
      <c r="F561" t="s">
        <v>19</v>
      </c>
      <c r="G561" t="s">
        <v>20</v>
      </c>
      <c r="H561">
        <v>24136</v>
      </c>
      <c r="I561">
        <v>8</v>
      </c>
      <c r="J561">
        <v>8</v>
      </c>
      <c r="K561" t="s">
        <v>29</v>
      </c>
      <c r="L561" t="s">
        <v>45</v>
      </c>
      <c r="M561">
        <v>70</v>
      </c>
      <c r="N561" t="s">
        <v>21</v>
      </c>
      <c r="O561">
        <v>5</v>
      </c>
    </row>
    <row r="562" spans="1:15" x14ac:dyDescent="0.3">
      <c r="A562" t="s">
        <v>600</v>
      </c>
      <c r="B562">
        <v>31</v>
      </c>
      <c r="C562" t="s">
        <v>16</v>
      </c>
      <c r="D562" t="s">
        <v>17</v>
      </c>
      <c r="E562" t="s">
        <v>41</v>
      </c>
      <c r="F562" t="s">
        <v>27</v>
      </c>
      <c r="G562" t="s">
        <v>28</v>
      </c>
      <c r="H562">
        <v>81868</v>
      </c>
      <c r="I562">
        <v>18</v>
      </c>
      <c r="J562">
        <v>5</v>
      </c>
      <c r="K562" t="s">
        <v>29</v>
      </c>
      <c r="L562" t="s">
        <v>22</v>
      </c>
      <c r="M562">
        <v>88</v>
      </c>
      <c r="N562" t="s">
        <v>21</v>
      </c>
      <c r="O562">
        <v>4</v>
      </c>
    </row>
    <row r="563" spans="1:15" x14ac:dyDescent="0.3">
      <c r="A563" t="s">
        <v>601</v>
      </c>
      <c r="B563">
        <v>57</v>
      </c>
      <c r="C563" t="s">
        <v>24</v>
      </c>
      <c r="D563" t="s">
        <v>44</v>
      </c>
      <c r="E563" t="s">
        <v>33</v>
      </c>
      <c r="F563" t="s">
        <v>19</v>
      </c>
      <c r="G563" t="s">
        <v>28</v>
      </c>
      <c r="H563">
        <v>102263</v>
      </c>
      <c r="I563">
        <v>4</v>
      </c>
      <c r="J563">
        <v>1</v>
      </c>
      <c r="K563" t="s">
        <v>29</v>
      </c>
      <c r="L563" t="s">
        <v>45</v>
      </c>
      <c r="M563">
        <v>86</v>
      </c>
      <c r="N563" t="s">
        <v>21</v>
      </c>
      <c r="O563">
        <v>2</v>
      </c>
    </row>
    <row r="564" spans="1:15" x14ac:dyDescent="0.3">
      <c r="A564" t="s">
        <v>602</v>
      </c>
      <c r="B564">
        <v>56</v>
      </c>
      <c r="C564" t="s">
        <v>24</v>
      </c>
      <c r="D564" t="s">
        <v>25</v>
      </c>
      <c r="E564" t="s">
        <v>26</v>
      </c>
      <c r="F564" t="s">
        <v>38</v>
      </c>
      <c r="G564" t="s">
        <v>28</v>
      </c>
      <c r="H564">
        <v>52167</v>
      </c>
      <c r="I564">
        <v>17</v>
      </c>
      <c r="J564">
        <v>0</v>
      </c>
      <c r="K564" t="s">
        <v>21</v>
      </c>
      <c r="L564" t="s">
        <v>45</v>
      </c>
      <c r="M564">
        <v>5</v>
      </c>
      <c r="N564" t="s">
        <v>21</v>
      </c>
      <c r="O564">
        <v>5</v>
      </c>
    </row>
    <row r="565" spans="1:15" x14ac:dyDescent="0.3">
      <c r="A565" t="s">
        <v>603</v>
      </c>
      <c r="B565">
        <v>55</v>
      </c>
      <c r="C565" t="s">
        <v>16</v>
      </c>
      <c r="D565" t="s">
        <v>44</v>
      </c>
      <c r="E565" t="s">
        <v>50</v>
      </c>
      <c r="F565" t="s">
        <v>38</v>
      </c>
      <c r="G565" t="s">
        <v>20</v>
      </c>
      <c r="H565">
        <v>35479</v>
      </c>
      <c r="I565">
        <v>15</v>
      </c>
      <c r="J565">
        <v>0</v>
      </c>
      <c r="K565" t="s">
        <v>21</v>
      </c>
      <c r="L565" t="s">
        <v>30</v>
      </c>
      <c r="M565">
        <v>62</v>
      </c>
      <c r="N565" t="s">
        <v>21</v>
      </c>
      <c r="O565">
        <v>3</v>
      </c>
    </row>
    <row r="566" spans="1:15" x14ac:dyDescent="0.3">
      <c r="A566" t="s">
        <v>604</v>
      </c>
      <c r="B566">
        <v>39</v>
      </c>
      <c r="C566" t="s">
        <v>24</v>
      </c>
      <c r="D566" t="s">
        <v>40</v>
      </c>
      <c r="E566" t="s">
        <v>33</v>
      </c>
      <c r="F566" t="s">
        <v>19</v>
      </c>
      <c r="G566" t="s">
        <v>20</v>
      </c>
      <c r="H566">
        <v>51376</v>
      </c>
      <c r="I566">
        <v>3</v>
      </c>
      <c r="J566">
        <v>8</v>
      </c>
      <c r="K566" t="s">
        <v>29</v>
      </c>
      <c r="L566" t="s">
        <v>45</v>
      </c>
      <c r="M566">
        <v>97</v>
      </c>
      <c r="N566" t="s">
        <v>29</v>
      </c>
      <c r="O566">
        <v>4</v>
      </c>
    </row>
    <row r="567" spans="1:15" x14ac:dyDescent="0.3">
      <c r="A567" t="s">
        <v>605</v>
      </c>
      <c r="B567">
        <v>40</v>
      </c>
      <c r="C567" t="s">
        <v>16</v>
      </c>
      <c r="D567" t="s">
        <v>32</v>
      </c>
      <c r="E567" t="s">
        <v>41</v>
      </c>
      <c r="F567" t="s">
        <v>27</v>
      </c>
      <c r="G567" t="s">
        <v>20</v>
      </c>
      <c r="H567">
        <v>24823</v>
      </c>
      <c r="I567">
        <v>11</v>
      </c>
      <c r="J567">
        <v>3</v>
      </c>
      <c r="K567" t="s">
        <v>29</v>
      </c>
      <c r="L567" t="s">
        <v>45</v>
      </c>
      <c r="M567">
        <v>97</v>
      </c>
      <c r="N567" t="s">
        <v>29</v>
      </c>
      <c r="O567">
        <v>1</v>
      </c>
    </row>
    <row r="568" spans="1:15" x14ac:dyDescent="0.3">
      <c r="A568" t="s">
        <v>606</v>
      </c>
      <c r="B568">
        <v>38</v>
      </c>
      <c r="C568" t="s">
        <v>16</v>
      </c>
      <c r="D568" t="s">
        <v>32</v>
      </c>
      <c r="E568" t="s">
        <v>33</v>
      </c>
      <c r="F568" t="s">
        <v>36</v>
      </c>
      <c r="G568" t="s">
        <v>28</v>
      </c>
      <c r="H568">
        <v>90456</v>
      </c>
      <c r="I568">
        <v>6</v>
      </c>
      <c r="J568">
        <v>4</v>
      </c>
      <c r="K568" t="s">
        <v>29</v>
      </c>
      <c r="L568" t="s">
        <v>45</v>
      </c>
      <c r="M568">
        <v>87</v>
      </c>
      <c r="N568" t="s">
        <v>21</v>
      </c>
      <c r="O568">
        <v>4</v>
      </c>
    </row>
    <row r="569" spans="1:15" x14ac:dyDescent="0.3">
      <c r="A569" t="s">
        <v>607</v>
      </c>
      <c r="B569">
        <v>34</v>
      </c>
      <c r="C569" t="s">
        <v>24</v>
      </c>
      <c r="D569" t="s">
        <v>32</v>
      </c>
      <c r="E569" t="s">
        <v>26</v>
      </c>
      <c r="F569" t="s">
        <v>27</v>
      </c>
      <c r="G569" t="s">
        <v>20</v>
      </c>
      <c r="H569">
        <v>39585</v>
      </c>
      <c r="I569">
        <v>13</v>
      </c>
      <c r="J569">
        <v>2</v>
      </c>
      <c r="K569" t="s">
        <v>21</v>
      </c>
      <c r="L569" t="s">
        <v>22</v>
      </c>
      <c r="M569">
        <v>48</v>
      </c>
      <c r="N569" t="s">
        <v>29</v>
      </c>
      <c r="O569">
        <v>4</v>
      </c>
    </row>
    <row r="570" spans="1:15" x14ac:dyDescent="0.3">
      <c r="A570" t="s">
        <v>608</v>
      </c>
      <c r="B570">
        <v>35</v>
      </c>
      <c r="C570" t="s">
        <v>16</v>
      </c>
      <c r="D570" t="s">
        <v>25</v>
      </c>
      <c r="E570" t="s">
        <v>50</v>
      </c>
      <c r="F570" t="s">
        <v>36</v>
      </c>
      <c r="G570" t="s">
        <v>20</v>
      </c>
      <c r="H570">
        <v>37272</v>
      </c>
      <c r="I570">
        <v>11</v>
      </c>
      <c r="J570">
        <v>3</v>
      </c>
      <c r="K570" t="s">
        <v>21</v>
      </c>
      <c r="L570" t="s">
        <v>45</v>
      </c>
      <c r="M570">
        <v>10</v>
      </c>
      <c r="N570" t="s">
        <v>29</v>
      </c>
      <c r="O570">
        <v>3</v>
      </c>
    </row>
    <row r="571" spans="1:15" x14ac:dyDescent="0.3">
      <c r="A571" t="s">
        <v>609</v>
      </c>
      <c r="B571">
        <v>51</v>
      </c>
      <c r="C571" t="s">
        <v>16</v>
      </c>
      <c r="D571" t="s">
        <v>32</v>
      </c>
      <c r="E571" t="s">
        <v>26</v>
      </c>
      <c r="F571" t="s">
        <v>19</v>
      </c>
      <c r="G571" t="s">
        <v>28</v>
      </c>
      <c r="H571">
        <v>46619</v>
      </c>
      <c r="I571">
        <v>2</v>
      </c>
      <c r="J571">
        <v>7</v>
      </c>
      <c r="K571" t="s">
        <v>21</v>
      </c>
      <c r="L571" t="s">
        <v>47</v>
      </c>
      <c r="M571">
        <v>54</v>
      </c>
      <c r="N571" t="s">
        <v>21</v>
      </c>
      <c r="O571">
        <v>3</v>
      </c>
    </row>
    <row r="572" spans="1:15" x14ac:dyDescent="0.3">
      <c r="A572" t="s">
        <v>610</v>
      </c>
      <c r="B572">
        <v>21</v>
      </c>
      <c r="C572" t="s">
        <v>16</v>
      </c>
      <c r="D572" t="s">
        <v>40</v>
      </c>
      <c r="E572" t="s">
        <v>18</v>
      </c>
      <c r="F572" t="s">
        <v>19</v>
      </c>
      <c r="G572" t="s">
        <v>28</v>
      </c>
      <c r="H572">
        <v>95069</v>
      </c>
      <c r="I572">
        <v>4</v>
      </c>
      <c r="J572">
        <v>3</v>
      </c>
      <c r="K572" t="s">
        <v>29</v>
      </c>
      <c r="L572" t="s">
        <v>45</v>
      </c>
      <c r="M572">
        <v>76</v>
      </c>
      <c r="N572" t="s">
        <v>29</v>
      </c>
      <c r="O572">
        <v>2</v>
      </c>
    </row>
    <row r="573" spans="1:15" x14ac:dyDescent="0.3">
      <c r="A573" t="s">
        <v>611</v>
      </c>
      <c r="B573">
        <v>23</v>
      </c>
      <c r="C573" t="s">
        <v>16</v>
      </c>
      <c r="D573" t="s">
        <v>44</v>
      </c>
      <c r="E573" t="s">
        <v>50</v>
      </c>
      <c r="F573" t="s">
        <v>38</v>
      </c>
      <c r="G573" t="s">
        <v>28</v>
      </c>
      <c r="H573">
        <v>59895</v>
      </c>
      <c r="I573">
        <v>16</v>
      </c>
      <c r="J573">
        <v>8</v>
      </c>
      <c r="K573" t="s">
        <v>21</v>
      </c>
      <c r="L573" t="s">
        <v>30</v>
      </c>
      <c r="M573">
        <v>92</v>
      </c>
      <c r="N573" t="s">
        <v>29</v>
      </c>
      <c r="O573">
        <v>2</v>
      </c>
    </row>
    <row r="574" spans="1:15" x14ac:dyDescent="0.3">
      <c r="A574" t="s">
        <v>612</v>
      </c>
      <c r="B574">
        <v>36</v>
      </c>
      <c r="C574" t="s">
        <v>16</v>
      </c>
      <c r="D574" t="s">
        <v>25</v>
      </c>
      <c r="E574" t="s">
        <v>26</v>
      </c>
      <c r="F574" t="s">
        <v>36</v>
      </c>
      <c r="G574" t="s">
        <v>28</v>
      </c>
      <c r="H574">
        <v>23720</v>
      </c>
      <c r="I574">
        <v>9</v>
      </c>
      <c r="J574">
        <v>8</v>
      </c>
      <c r="K574" t="s">
        <v>29</v>
      </c>
      <c r="L574" t="s">
        <v>45</v>
      </c>
      <c r="M574">
        <v>24</v>
      </c>
      <c r="N574" t="s">
        <v>29</v>
      </c>
      <c r="O574">
        <v>5</v>
      </c>
    </row>
    <row r="575" spans="1:15" x14ac:dyDescent="0.3">
      <c r="A575" t="s">
        <v>613</v>
      </c>
      <c r="B575">
        <v>43</v>
      </c>
      <c r="C575" t="s">
        <v>24</v>
      </c>
      <c r="D575" t="s">
        <v>44</v>
      </c>
      <c r="E575" t="s">
        <v>41</v>
      </c>
      <c r="F575" t="s">
        <v>27</v>
      </c>
      <c r="G575" t="s">
        <v>28</v>
      </c>
      <c r="H575">
        <v>39267</v>
      </c>
      <c r="I575">
        <v>9</v>
      </c>
      <c r="J575">
        <v>5</v>
      </c>
      <c r="K575" t="s">
        <v>21</v>
      </c>
      <c r="L575" t="s">
        <v>45</v>
      </c>
      <c r="M575">
        <v>18</v>
      </c>
      <c r="N575" t="s">
        <v>29</v>
      </c>
      <c r="O575">
        <v>1</v>
      </c>
    </row>
    <row r="576" spans="1:15" x14ac:dyDescent="0.3">
      <c r="A576" t="s">
        <v>614</v>
      </c>
      <c r="B576">
        <v>31</v>
      </c>
      <c r="C576" t="s">
        <v>16</v>
      </c>
      <c r="D576" t="s">
        <v>25</v>
      </c>
      <c r="E576" t="s">
        <v>50</v>
      </c>
      <c r="F576" t="s">
        <v>19</v>
      </c>
      <c r="G576" t="s">
        <v>28</v>
      </c>
      <c r="H576">
        <v>35696</v>
      </c>
      <c r="I576">
        <v>10</v>
      </c>
      <c r="J576">
        <v>1</v>
      </c>
      <c r="K576" t="s">
        <v>29</v>
      </c>
      <c r="L576" t="s">
        <v>22</v>
      </c>
      <c r="M576">
        <v>9</v>
      </c>
      <c r="N576" t="s">
        <v>21</v>
      </c>
      <c r="O576">
        <v>2</v>
      </c>
    </row>
    <row r="577" spans="1:15" x14ac:dyDescent="0.3">
      <c r="A577" t="s">
        <v>615</v>
      </c>
      <c r="B577">
        <v>32</v>
      </c>
      <c r="C577" t="s">
        <v>16</v>
      </c>
      <c r="D577" t="s">
        <v>44</v>
      </c>
      <c r="E577" t="s">
        <v>50</v>
      </c>
      <c r="F577" t="s">
        <v>27</v>
      </c>
      <c r="G577" t="s">
        <v>20</v>
      </c>
      <c r="H577">
        <v>49968</v>
      </c>
      <c r="I577">
        <v>16</v>
      </c>
      <c r="J577">
        <v>9</v>
      </c>
      <c r="K577" t="s">
        <v>29</v>
      </c>
      <c r="L577" t="s">
        <v>47</v>
      </c>
      <c r="M577">
        <v>45</v>
      </c>
      <c r="N577" t="s">
        <v>29</v>
      </c>
      <c r="O577">
        <v>3</v>
      </c>
    </row>
    <row r="578" spans="1:15" x14ac:dyDescent="0.3">
      <c r="A578" t="s">
        <v>616</v>
      </c>
      <c r="B578">
        <v>30</v>
      </c>
      <c r="C578" t="s">
        <v>16</v>
      </c>
      <c r="D578" t="s">
        <v>17</v>
      </c>
      <c r="E578" t="s">
        <v>33</v>
      </c>
      <c r="F578" t="s">
        <v>38</v>
      </c>
      <c r="G578" t="s">
        <v>28</v>
      </c>
      <c r="H578">
        <v>73364</v>
      </c>
      <c r="I578">
        <v>4</v>
      </c>
      <c r="J578">
        <v>6</v>
      </c>
      <c r="K578" t="s">
        <v>21</v>
      </c>
      <c r="L578" t="s">
        <v>45</v>
      </c>
      <c r="M578">
        <v>44</v>
      </c>
      <c r="N578" t="s">
        <v>21</v>
      </c>
      <c r="O578">
        <v>4</v>
      </c>
    </row>
    <row r="579" spans="1:15" x14ac:dyDescent="0.3">
      <c r="A579" t="s">
        <v>617</v>
      </c>
      <c r="B579">
        <v>52</v>
      </c>
      <c r="C579" t="s">
        <v>16</v>
      </c>
      <c r="D579" t="s">
        <v>44</v>
      </c>
      <c r="E579" t="s">
        <v>41</v>
      </c>
      <c r="F579" t="s">
        <v>36</v>
      </c>
      <c r="G579" t="s">
        <v>20</v>
      </c>
      <c r="H579">
        <v>43345</v>
      </c>
      <c r="I579">
        <v>12</v>
      </c>
      <c r="J579">
        <v>8</v>
      </c>
      <c r="K579" t="s">
        <v>29</v>
      </c>
      <c r="L579" t="s">
        <v>47</v>
      </c>
      <c r="M579">
        <v>38</v>
      </c>
      <c r="N579" t="s">
        <v>21</v>
      </c>
      <c r="O579">
        <v>5</v>
      </c>
    </row>
    <row r="580" spans="1:15" x14ac:dyDescent="0.3">
      <c r="A580" t="s">
        <v>618</v>
      </c>
      <c r="B580">
        <v>36</v>
      </c>
      <c r="C580" t="s">
        <v>16</v>
      </c>
      <c r="D580" t="s">
        <v>32</v>
      </c>
      <c r="E580" t="s">
        <v>18</v>
      </c>
      <c r="F580" t="s">
        <v>36</v>
      </c>
      <c r="G580" t="s">
        <v>20</v>
      </c>
      <c r="H580">
        <v>71567</v>
      </c>
      <c r="I580">
        <v>9</v>
      </c>
      <c r="J580">
        <v>5</v>
      </c>
      <c r="K580" t="s">
        <v>29</v>
      </c>
      <c r="L580" t="s">
        <v>30</v>
      </c>
      <c r="M580">
        <v>84</v>
      </c>
      <c r="N580" t="s">
        <v>29</v>
      </c>
      <c r="O580">
        <v>2</v>
      </c>
    </row>
    <row r="581" spans="1:15" x14ac:dyDescent="0.3">
      <c r="A581" t="s">
        <v>619</v>
      </c>
      <c r="B581">
        <v>28</v>
      </c>
      <c r="C581" t="s">
        <v>24</v>
      </c>
      <c r="D581" t="s">
        <v>17</v>
      </c>
      <c r="E581" t="s">
        <v>26</v>
      </c>
      <c r="F581" t="s">
        <v>19</v>
      </c>
      <c r="G581" t="s">
        <v>20</v>
      </c>
      <c r="H581">
        <v>111229</v>
      </c>
      <c r="I581">
        <v>8</v>
      </c>
      <c r="J581">
        <v>2</v>
      </c>
      <c r="K581" t="s">
        <v>29</v>
      </c>
      <c r="L581" t="s">
        <v>22</v>
      </c>
      <c r="M581">
        <v>49</v>
      </c>
      <c r="N581" t="s">
        <v>21</v>
      </c>
      <c r="O581">
        <v>4</v>
      </c>
    </row>
    <row r="582" spans="1:15" x14ac:dyDescent="0.3">
      <c r="A582" t="s">
        <v>620</v>
      </c>
      <c r="B582">
        <v>58</v>
      </c>
      <c r="C582" t="s">
        <v>16</v>
      </c>
      <c r="D582" t="s">
        <v>44</v>
      </c>
      <c r="E582" t="s">
        <v>33</v>
      </c>
      <c r="F582" t="s">
        <v>36</v>
      </c>
      <c r="G582" t="s">
        <v>28</v>
      </c>
      <c r="H582">
        <v>81607</v>
      </c>
      <c r="I582">
        <v>16</v>
      </c>
      <c r="J582">
        <v>6</v>
      </c>
      <c r="K582" t="s">
        <v>21</v>
      </c>
      <c r="L582" t="s">
        <v>47</v>
      </c>
      <c r="M582">
        <v>75</v>
      </c>
      <c r="N582" t="s">
        <v>29</v>
      </c>
      <c r="O582">
        <v>4</v>
      </c>
    </row>
    <row r="583" spans="1:15" x14ac:dyDescent="0.3">
      <c r="A583" t="s">
        <v>621</v>
      </c>
      <c r="B583">
        <v>32</v>
      </c>
      <c r="C583" t="s">
        <v>24</v>
      </c>
      <c r="D583" t="s">
        <v>25</v>
      </c>
      <c r="E583" t="s">
        <v>26</v>
      </c>
      <c r="F583" t="s">
        <v>19</v>
      </c>
      <c r="G583" t="s">
        <v>20</v>
      </c>
      <c r="H583">
        <v>39385</v>
      </c>
      <c r="I583">
        <v>0</v>
      </c>
      <c r="J583">
        <v>4</v>
      </c>
      <c r="K583" t="s">
        <v>29</v>
      </c>
      <c r="L583" t="s">
        <v>22</v>
      </c>
      <c r="M583">
        <v>84</v>
      </c>
      <c r="N583" t="s">
        <v>21</v>
      </c>
      <c r="O583">
        <v>2</v>
      </c>
    </row>
    <row r="584" spans="1:15" x14ac:dyDescent="0.3">
      <c r="A584" t="s">
        <v>622</v>
      </c>
      <c r="B584">
        <v>44</v>
      </c>
      <c r="C584" t="s">
        <v>24</v>
      </c>
      <c r="D584" t="s">
        <v>25</v>
      </c>
      <c r="E584" t="s">
        <v>18</v>
      </c>
      <c r="F584" t="s">
        <v>38</v>
      </c>
      <c r="G584" t="s">
        <v>28</v>
      </c>
      <c r="H584">
        <v>103658</v>
      </c>
      <c r="I584">
        <v>3</v>
      </c>
      <c r="J584">
        <v>0</v>
      </c>
      <c r="K584" t="s">
        <v>21</v>
      </c>
      <c r="L584" t="s">
        <v>45</v>
      </c>
      <c r="M584">
        <v>75</v>
      </c>
      <c r="N584" t="s">
        <v>29</v>
      </c>
      <c r="O584">
        <v>1</v>
      </c>
    </row>
    <row r="585" spans="1:15" x14ac:dyDescent="0.3">
      <c r="A585" t="s">
        <v>623</v>
      </c>
      <c r="B585">
        <v>48</v>
      </c>
      <c r="C585" t="s">
        <v>24</v>
      </c>
      <c r="D585" t="s">
        <v>25</v>
      </c>
      <c r="E585" t="s">
        <v>18</v>
      </c>
      <c r="F585" t="s">
        <v>36</v>
      </c>
      <c r="G585" t="s">
        <v>28</v>
      </c>
      <c r="H585">
        <v>86900</v>
      </c>
      <c r="I585">
        <v>3</v>
      </c>
      <c r="J585">
        <v>2</v>
      </c>
      <c r="K585" t="s">
        <v>21</v>
      </c>
      <c r="L585" t="s">
        <v>30</v>
      </c>
      <c r="M585">
        <v>31</v>
      </c>
      <c r="N585" t="s">
        <v>29</v>
      </c>
      <c r="O585">
        <v>1</v>
      </c>
    </row>
    <row r="586" spans="1:15" x14ac:dyDescent="0.3">
      <c r="A586" t="s">
        <v>624</v>
      </c>
      <c r="B586">
        <v>28</v>
      </c>
      <c r="C586" t="s">
        <v>24</v>
      </c>
      <c r="D586" t="s">
        <v>35</v>
      </c>
      <c r="E586" t="s">
        <v>50</v>
      </c>
      <c r="F586" t="s">
        <v>19</v>
      </c>
      <c r="G586" t="s">
        <v>20</v>
      </c>
      <c r="H586">
        <v>88244</v>
      </c>
      <c r="I586">
        <v>17</v>
      </c>
      <c r="J586">
        <v>4</v>
      </c>
      <c r="K586" t="s">
        <v>29</v>
      </c>
      <c r="L586" t="s">
        <v>22</v>
      </c>
      <c r="M586">
        <v>82</v>
      </c>
      <c r="N586" t="s">
        <v>21</v>
      </c>
      <c r="O586">
        <v>5</v>
      </c>
    </row>
    <row r="587" spans="1:15" x14ac:dyDescent="0.3">
      <c r="A587" t="s">
        <v>625</v>
      </c>
      <c r="B587">
        <v>48</v>
      </c>
      <c r="C587" t="s">
        <v>16</v>
      </c>
      <c r="D587" t="s">
        <v>40</v>
      </c>
      <c r="E587" t="s">
        <v>18</v>
      </c>
      <c r="F587" t="s">
        <v>27</v>
      </c>
      <c r="G587" t="s">
        <v>28</v>
      </c>
      <c r="H587">
        <v>85425</v>
      </c>
      <c r="I587">
        <v>8</v>
      </c>
      <c r="J587">
        <v>6</v>
      </c>
      <c r="K587" t="s">
        <v>21</v>
      </c>
      <c r="L587" t="s">
        <v>45</v>
      </c>
      <c r="M587">
        <v>82</v>
      </c>
      <c r="N587" t="s">
        <v>29</v>
      </c>
      <c r="O587">
        <v>1</v>
      </c>
    </row>
    <row r="588" spans="1:15" x14ac:dyDescent="0.3">
      <c r="A588" t="s">
        <v>626</v>
      </c>
      <c r="B588">
        <v>56</v>
      </c>
      <c r="C588" t="s">
        <v>24</v>
      </c>
      <c r="D588" t="s">
        <v>25</v>
      </c>
      <c r="E588" t="s">
        <v>26</v>
      </c>
      <c r="F588" t="s">
        <v>19</v>
      </c>
      <c r="G588" t="s">
        <v>20</v>
      </c>
      <c r="H588">
        <v>98518</v>
      </c>
      <c r="I588">
        <v>17</v>
      </c>
      <c r="J588">
        <v>2</v>
      </c>
      <c r="K588" t="s">
        <v>29</v>
      </c>
      <c r="L588" t="s">
        <v>47</v>
      </c>
      <c r="M588">
        <v>48</v>
      </c>
      <c r="N588" t="s">
        <v>29</v>
      </c>
      <c r="O588">
        <v>5</v>
      </c>
    </row>
    <row r="589" spans="1:15" x14ac:dyDescent="0.3">
      <c r="A589" t="s">
        <v>627</v>
      </c>
      <c r="B589">
        <v>46</v>
      </c>
      <c r="C589" t="s">
        <v>24</v>
      </c>
      <c r="D589" t="s">
        <v>17</v>
      </c>
      <c r="E589" t="s">
        <v>41</v>
      </c>
      <c r="F589" t="s">
        <v>36</v>
      </c>
      <c r="G589" t="s">
        <v>20</v>
      </c>
      <c r="H589">
        <v>102844</v>
      </c>
      <c r="I589">
        <v>13</v>
      </c>
      <c r="J589">
        <v>5</v>
      </c>
      <c r="K589" t="s">
        <v>21</v>
      </c>
      <c r="L589" t="s">
        <v>30</v>
      </c>
      <c r="M589">
        <v>37</v>
      </c>
      <c r="N589" t="s">
        <v>29</v>
      </c>
      <c r="O589">
        <v>3</v>
      </c>
    </row>
    <row r="590" spans="1:15" x14ac:dyDescent="0.3">
      <c r="A590" t="s">
        <v>628</v>
      </c>
      <c r="B590">
        <v>28</v>
      </c>
      <c r="C590" t="s">
        <v>16</v>
      </c>
      <c r="D590" t="s">
        <v>25</v>
      </c>
      <c r="E590" t="s">
        <v>41</v>
      </c>
      <c r="F590" t="s">
        <v>38</v>
      </c>
      <c r="G590" t="s">
        <v>28</v>
      </c>
      <c r="H590">
        <v>52919</v>
      </c>
      <c r="I590">
        <v>14</v>
      </c>
      <c r="J590">
        <v>4</v>
      </c>
      <c r="K590" t="s">
        <v>29</v>
      </c>
      <c r="L590" t="s">
        <v>30</v>
      </c>
      <c r="M590">
        <v>37</v>
      </c>
      <c r="N590" t="s">
        <v>29</v>
      </c>
      <c r="O590">
        <v>2</v>
      </c>
    </row>
    <row r="591" spans="1:15" x14ac:dyDescent="0.3">
      <c r="A591" t="s">
        <v>629</v>
      </c>
      <c r="B591">
        <v>48</v>
      </c>
      <c r="C591" t="s">
        <v>16</v>
      </c>
      <c r="D591" t="s">
        <v>35</v>
      </c>
      <c r="E591" t="s">
        <v>50</v>
      </c>
      <c r="F591" t="s">
        <v>36</v>
      </c>
      <c r="G591" t="s">
        <v>20</v>
      </c>
      <c r="H591">
        <v>110697</v>
      </c>
      <c r="I591">
        <v>5</v>
      </c>
      <c r="J591">
        <v>0</v>
      </c>
      <c r="K591" t="s">
        <v>21</v>
      </c>
      <c r="L591" t="s">
        <v>47</v>
      </c>
      <c r="M591">
        <v>48</v>
      </c>
      <c r="N591" t="s">
        <v>21</v>
      </c>
      <c r="O591">
        <v>4</v>
      </c>
    </row>
    <row r="592" spans="1:15" x14ac:dyDescent="0.3">
      <c r="A592" t="s">
        <v>630</v>
      </c>
      <c r="B592">
        <v>48</v>
      </c>
      <c r="C592" t="s">
        <v>16</v>
      </c>
      <c r="D592" t="s">
        <v>32</v>
      </c>
      <c r="E592" t="s">
        <v>26</v>
      </c>
      <c r="F592" t="s">
        <v>36</v>
      </c>
      <c r="G592" t="s">
        <v>20</v>
      </c>
      <c r="H592">
        <v>77196</v>
      </c>
      <c r="I592">
        <v>9</v>
      </c>
      <c r="J592">
        <v>9</v>
      </c>
      <c r="K592" t="s">
        <v>29</v>
      </c>
      <c r="L592" t="s">
        <v>47</v>
      </c>
      <c r="M592">
        <v>24</v>
      </c>
      <c r="N592" t="s">
        <v>21</v>
      </c>
      <c r="O592">
        <v>5</v>
      </c>
    </row>
    <row r="593" spans="1:15" x14ac:dyDescent="0.3">
      <c r="A593" t="s">
        <v>631</v>
      </c>
      <c r="B593">
        <v>57</v>
      </c>
      <c r="C593" t="s">
        <v>24</v>
      </c>
      <c r="D593" t="s">
        <v>17</v>
      </c>
      <c r="E593" t="s">
        <v>26</v>
      </c>
      <c r="F593" t="s">
        <v>19</v>
      </c>
      <c r="G593" t="s">
        <v>20</v>
      </c>
      <c r="H593">
        <v>99401</v>
      </c>
      <c r="I593">
        <v>14</v>
      </c>
      <c r="J593">
        <v>5</v>
      </c>
      <c r="K593" t="s">
        <v>29</v>
      </c>
      <c r="L593" t="s">
        <v>30</v>
      </c>
      <c r="M593">
        <v>40</v>
      </c>
      <c r="N593" t="s">
        <v>21</v>
      </c>
      <c r="O593">
        <v>1</v>
      </c>
    </row>
    <row r="594" spans="1:15" x14ac:dyDescent="0.3">
      <c r="A594" t="s">
        <v>632</v>
      </c>
      <c r="B594">
        <v>56</v>
      </c>
      <c r="C594" t="s">
        <v>16</v>
      </c>
      <c r="D594" t="s">
        <v>35</v>
      </c>
      <c r="E594" t="s">
        <v>18</v>
      </c>
      <c r="F594" t="s">
        <v>27</v>
      </c>
      <c r="G594" t="s">
        <v>28</v>
      </c>
      <c r="H594">
        <v>20495</v>
      </c>
      <c r="I594">
        <v>3</v>
      </c>
      <c r="J594">
        <v>7</v>
      </c>
      <c r="K594" t="s">
        <v>29</v>
      </c>
      <c r="L594" t="s">
        <v>22</v>
      </c>
      <c r="M594">
        <v>11</v>
      </c>
      <c r="N594" t="s">
        <v>29</v>
      </c>
      <c r="O594">
        <v>5</v>
      </c>
    </row>
    <row r="595" spans="1:15" x14ac:dyDescent="0.3">
      <c r="A595" t="s">
        <v>633</v>
      </c>
      <c r="B595">
        <v>47</v>
      </c>
      <c r="C595" t="s">
        <v>16</v>
      </c>
      <c r="D595" t="s">
        <v>32</v>
      </c>
      <c r="E595" t="s">
        <v>26</v>
      </c>
      <c r="F595" t="s">
        <v>36</v>
      </c>
      <c r="G595" t="s">
        <v>20</v>
      </c>
      <c r="H595">
        <v>64755</v>
      </c>
      <c r="I595">
        <v>17</v>
      </c>
      <c r="J595">
        <v>0</v>
      </c>
      <c r="K595" t="s">
        <v>29</v>
      </c>
      <c r="L595" t="s">
        <v>30</v>
      </c>
      <c r="M595">
        <v>36</v>
      </c>
      <c r="N595" t="s">
        <v>21</v>
      </c>
      <c r="O595">
        <v>5</v>
      </c>
    </row>
    <row r="596" spans="1:15" x14ac:dyDescent="0.3">
      <c r="A596" t="s">
        <v>634</v>
      </c>
      <c r="B596">
        <v>37</v>
      </c>
      <c r="C596" t="s">
        <v>24</v>
      </c>
      <c r="D596" t="s">
        <v>17</v>
      </c>
      <c r="E596" t="s">
        <v>33</v>
      </c>
      <c r="F596" t="s">
        <v>27</v>
      </c>
      <c r="G596" t="s">
        <v>28</v>
      </c>
      <c r="H596">
        <v>87684</v>
      </c>
      <c r="I596">
        <v>17</v>
      </c>
      <c r="J596">
        <v>1</v>
      </c>
      <c r="K596" t="s">
        <v>21</v>
      </c>
      <c r="L596" t="s">
        <v>47</v>
      </c>
      <c r="M596">
        <v>71</v>
      </c>
      <c r="N596" t="s">
        <v>29</v>
      </c>
      <c r="O596">
        <v>1</v>
      </c>
    </row>
    <row r="597" spans="1:15" x14ac:dyDescent="0.3">
      <c r="A597" t="s">
        <v>635</v>
      </c>
      <c r="B597">
        <v>29</v>
      </c>
      <c r="C597" t="s">
        <v>16</v>
      </c>
      <c r="D597" t="s">
        <v>44</v>
      </c>
      <c r="E597" t="s">
        <v>18</v>
      </c>
      <c r="F597" t="s">
        <v>19</v>
      </c>
      <c r="G597" t="s">
        <v>28</v>
      </c>
      <c r="H597">
        <v>53324</v>
      </c>
      <c r="I597">
        <v>16</v>
      </c>
      <c r="J597">
        <v>3</v>
      </c>
      <c r="K597" t="s">
        <v>21</v>
      </c>
      <c r="L597" t="s">
        <v>22</v>
      </c>
      <c r="M597">
        <v>43</v>
      </c>
      <c r="N597" t="s">
        <v>29</v>
      </c>
      <c r="O597">
        <v>1</v>
      </c>
    </row>
    <row r="598" spans="1:15" x14ac:dyDescent="0.3">
      <c r="A598" t="s">
        <v>636</v>
      </c>
      <c r="B598">
        <v>53</v>
      </c>
      <c r="C598" t="s">
        <v>16</v>
      </c>
      <c r="D598" t="s">
        <v>40</v>
      </c>
      <c r="E598" t="s">
        <v>33</v>
      </c>
      <c r="F598" t="s">
        <v>27</v>
      </c>
      <c r="G598" t="s">
        <v>20</v>
      </c>
      <c r="H598">
        <v>98929</v>
      </c>
      <c r="I598">
        <v>11</v>
      </c>
      <c r="J598">
        <v>1</v>
      </c>
      <c r="K598" t="s">
        <v>29</v>
      </c>
      <c r="L598" t="s">
        <v>45</v>
      </c>
      <c r="M598">
        <v>97</v>
      </c>
      <c r="N598" t="s">
        <v>29</v>
      </c>
      <c r="O598">
        <v>2</v>
      </c>
    </row>
    <row r="599" spans="1:15" x14ac:dyDescent="0.3">
      <c r="A599" t="s">
        <v>637</v>
      </c>
      <c r="B599">
        <v>40</v>
      </c>
      <c r="C599" t="s">
        <v>16</v>
      </c>
      <c r="D599" t="s">
        <v>40</v>
      </c>
      <c r="E599" t="s">
        <v>50</v>
      </c>
      <c r="F599" t="s">
        <v>19</v>
      </c>
      <c r="G599" t="s">
        <v>20</v>
      </c>
      <c r="H599">
        <v>21552</v>
      </c>
      <c r="I599">
        <v>6</v>
      </c>
      <c r="J599">
        <v>8</v>
      </c>
      <c r="K599" t="s">
        <v>21</v>
      </c>
      <c r="L599" t="s">
        <v>30</v>
      </c>
      <c r="M599">
        <v>28</v>
      </c>
      <c r="N599" t="s">
        <v>21</v>
      </c>
      <c r="O599">
        <v>4</v>
      </c>
    </row>
    <row r="600" spans="1:15" x14ac:dyDescent="0.3">
      <c r="A600" t="s">
        <v>638</v>
      </c>
      <c r="B600">
        <v>33</v>
      </c>
      <c r="C600" t="s">
        <v>16</v>
      </c>
      <c r="D600" t="s">
        <v>35</v>
      </c>
      <c r="E600" t="s">
        <v>41</v>
      </c>
      <c r="F600" t="s">
        <v>38</v>
      </c>
      <c r="G600" t="s">
        <v>28</v>
      </c>
      <c r="H600">
        <v>71272</v>
      </c>
      <c r="I600">
        <v>15</v>
      </c>
      <c r="J600">
        <v>9</v>
      </c>
      <c r="K600" t="s">
        <v>29</v>
      </c>
      <c r="L600" t="s">
        <v>47</v>
      </c>
      <c r="M600">
        <v>90</v>
      </c>
      <c r="N600" t="s">
        <v>21</v>
      </c>
      <c r="O600">
        <v>2</v>
      </c>
    </row>
    <row r="601" spans="1:15" x14ac:dyDescent="0.3">
      <c r="A601" t="s">
        <v>639</v>
      </c>
      <c r="B601">
        <v>48</v>
      </c>
      <c r="C601" t="s">
        <v>24</v>
      </c>
      <c r="D601" t="s">
        <v>32</v>
      </c>
      <c r="E601" t="s">
        <v>50</v>
      </c>
      <c r="F601" t="s">
        <v>27</v>
      </c>
      <c r="G601" t="s">
        <v>28</v>
      </c>
      <c r="H601">
        <v>55853</v>
      </c>
      <c r="I601">
        <v>10</v>
      </c>
      <c r="J601">
        <v>7</v>
      </c>
      <c r="K601" t="s">
        <v>29</v>
      </c>
      <c r="L601" t="s">
        <v>45</v>
      </c>
      <c r="M601">
        <v>74</v>
      </c>
      <c r="N601" t="s">
        <v>21</v>
      </c>
      <c r="O601">
        <v>2</v>
      </c>
    </row>
    <row r="602" spans="1:15" x14ac:dyDescent="0.3">
      <c r="A602" t="s">
        <v>640</v>
      </c>
      <c r="B602">
        <v>49</v>
      </c>
      <c r="C602" t="s">
        <v>16</v>
      </c>
      <c r="D602" t="s">
        <v>40</v>
      </c>
      <c r="E602" t="s">
        <v>41</v>
      </c>
      <c r="F602" t="s">
        <v>27</v>
      </c>
      <c r="G602" t="s">
        <v>20</v>
      </c>
      <c r="H602">
        <v>52924</v>
      </c>
      <c r="I602">
        <v>13</v>
      </c>
      <c r="J602">
        <v>7</v>
      </c>
      <c r="K602" t="s">
        <v>21</v>
      </c>
      <c r="L602" t="s">
        <v>30</v>
      </c>
      <c r="M602">
        <v>92</v>
      </c>
      <c r="N602" t="s">
        <v>21</v>
      </c>
      <c r="O602">
        <v>1</v>
      </c>
    </row>
    <row r="603" spans="1:15" x14ac:dyDescent="0.3">
      <c r="A603" t="s">
        <v>641</v>
      </c>
      <c r="B603">
        <v>33</v>
      </c>
      <c r="C603" t="s">
        <v>16</v>
      </c>
      <c r="D603" t="s">
        <v>32</v>
      </c>
      <c r="E603" t="s">
        <v>50</v>
      </c>
      <c r="F603" t="s">
        <v>38</v>
      </c>
      <c r="G603" t="s">
        <v>20</v>
      </c>
      <c r="H603">
        <v>94462</v>
      </c>
      <c r="I603">
        <v>2</v>
      </c>
      <c r="J603">
        <v>3</v>
      </c>
      <c r="K603" t="s">
        <v>21</v>
      </c>
      <c r="L603" t="s">
        <v>30</v>
      </c>
      <c r="M603">
        <v>91</v>
      </c>
      <c r="N603" t="s">
        <v>29</v>
      </c>
      <c r="O603">
        <v>1</v>
      </c>
    </row>
    <row r="604" spans="1:15" x14ac:dyDescent="0.3">
      <c r="A604" t="s">
        <v>642</v>
      </c>
      <c r="B604">
        <v>55</v>
      </c>
      <c r="C604" t="s">
        <v>24</v>
      </c>
      <c r="D604" t="s">
        <v>32</v>
      </c>
      <c r="E604" t="s">
        <v>26</v>
      </c>
      <c r="F604" t="s">
        <v>27</v>
      </c>
      <c r="G604" t="s">
        <v>28</v>
      </c>
      <c r="H604">
        <v>116387</v>
      </c>
      <c r="I604">
        <v>18</v>
      </c>
      <c r="J604">
        <v>4</v>
      </c>
      <c r="K604" t="s">
        <v>29</v>
      </c>
      <c r="L604" t="s">
        <v>22</v>
      </c>
      <c r="M604">
        <v>58</v>
      </c>
      <c r="N604" t="s">
        <v>21</v>
      </c>
      <c r="O604">
        <v>4</v>
      </c>
    </row>
    <row r="605" spans="1:15" x14ac:dyDescent="0.3">
      <c r="A605" t="s">
        <v>643</v>
      </c>
      <c r="B605">
        <v>26</v>
      </c>
      <c r="C605" t="s">
        <v>16</v>
      </c>
      <c r="D605" t="s">
        <v>35</v>
      </c>
      <c r="E605" t="s">
        <v>33</v>
      </c>
      <c r="F605" t="s">
        <v>38</v>
      </c>
      <c r="G605" t="s">
        <v>28</v>
      </c>
      <c r="H605">
        <v>43889</v>
      </c>
      <c r="I605">
        <v>17</v>
      </c>
      <c r="J605">
        <v>3</v>
      </c>
      <c r="K605" t="s">
        <v>21</v>
      </c>
      <c r="L605" t="s">
        <v>47</v>
      </c>
      <c r="M605">
        <v>42</v>
      </c>
      <c r="N605" t="s">
        <v>21</v>
      </c>
      <c r="O605">
        <v>5</v>
      </c>
    </row>
    <row r="606" spans="1:15" x14ac:dyDescent="0.3">
      <c r="A606" t="s">
        <v>644</v>
      </c>
      <c r="B606">
        <v>38</v>
      </c>
      <c r="C606" t="s">
        <v>24</v>
      </c>
      <c r="D606" t="s">
        <v>35</v>
      </c>
      <c r="E606" t="s">
        <v>41</v>
      </c>
      <c r="F606" t="s">
        <v>36</v>
      </c>
      <c r="G606" t="s">
        <v>28</v>
      </c>
      <c r="H606">
        <v>74675</v>
      </c>
      <c r="I606">
        <v>9</v>
      </c>
      <c r="J606">
        <v>8</v>
      </c>
      <c r="K606" t="s">
        <v>29</v>
      </c>
      <c r="L606" t="s">
        <v>45</v>
      </c>
      <c r="M606">
        <v>78</v>
      </c>
      <c r="N606" t="s">
        <v>21</v>
      </c>
      <c r="O606">
        <v>2</v>
      </c>
    </row>
    <row r="607" spans="1:15" x14ac:dyDescent="0.3">
      <c r="A607" t="s">
        <v>645</v>
      </c>
      <c r="B607">
        <v>25</v>
      </c>
      <c r="C607" t="s">
        <v>16</v>
      </c>
      <c r="D607" t="s">
        <v>35</v>
      </c>
      <c r="E607" t="s">
        <v>18</v>
      </c>
      <c r="F607" t="s">
        <v>19</v>
      </c>
      <c r="G607" t="s">
        <v>28</v>
      </c>
      <c r="H607">
        <v>93591</v>
      </c>
      <c r="I607">
        <v>5</v>
      </c>
      <c r="J607">
        <v>1</v>
      </c>
      <c r="K607" t="s">
        <v>21</v>
      </c>
      <c r="L607" t="s">
        <v>30</v>
      </c>
      <c r="M607">
        <v>84</v>
      </c>
      <c r="N607" t="s">
        <v>21</v>
      </c>
      <c r="O607">
        <v>4</v>
      </c>
    </row>
    <row r="608" spans="1:15" x14ac:dyDescent="0.3">
      <c r="A608" t="s">
        <v>646</v>
      </c>
      <c r="B608">
        <v>45</v>
      </c>
      <c r="C608" t="s">
        <v>24</v>
      </c>
      <c r="D608" t="s">
        <v>40</v>
      </c>
      <c r="E608" t="s">
        <v>33</v>
      </c>
      <c r="F608" t="s">
        <v>38</v>
      </c>
      <c r="G608" t="s">
        <v>28</v>
      </c>
      <c r="H608">
        <v>90190</v>
      </c>
      <c r="I608">
        <v>12</v>
      </c>
      <c r="J608">
        <v>7</v>
      </c>
      <c r="K608" t="s">
        <v>21</v>
      </c>
      <c r="L608" t="s">
        <v>22</v>
      </c>
      <c r="M608">
        <v>79</v>
      </c>
      <c r="N608" t="s">
        <v>29</v>
      </c>
      <c r="O608">
        <v>2</v>
      </c>
    </row>
    <row r="609" spans="1:15" x14ac:dyDescent="0.3">
      <c r="A609" t="s">
        <v>647</v>
      </c>
      <c r="B609">
        <v>22</v>
      </c>
      <c r="C609" t="s">
        <v>24</v>
      </c>
      <c r="D609" t="s">
        <v>35</v>
      </c>
      <c r="E609" t="s">
        <v>18</v>
      </c>
      <c r="F609" t="s">
        <v>27</v>
      </c>
      <c r="G609" t="s">
        <v>20</v>
      </c>
      <c r="H609">
        <v>42634</v>
      </c>
      <c r="I609">
        <v>9</v>
      </c>
      <c r="J609">
        <v>1</v>
      </c>
      <c r="K609" t="s">
        <v>21</v>
      </c>
      <c r="L609" t="s">
        <v>45</v>
      </c>
      <c r="M609">
        <v>36</v>
      </c>
      <c r="N609" t="s">
        <v>21</v>
      </c>
      <c r="O609">
        <v>5</v>
      </c>
    </row>
    <row r="610" spans="1:15" x14ac:dyDescent="0.3">
      <c r="A610" t="s">
        <v>648</v>
      </c>
      <c r="B610">
        <v>30</v>
      </c>
      <c r="C610" t="s">
        <v>24</v>
      </c>
      <c r="D610" t="s">
        <v>40</v>
      </c>
      <c r="E610" t="s">
        <v>33</v>
      </c>
      <c r="F610" t="s">
        <v>38</v>
      </c>
      <c r="G610" t="s">
        <v>28</v>
      </c>
      <c r="H610">
        <v>52363</v>
      </c>
      <c r="I610">
        <v>17</v>
      </c>
      <c r="J610">
        <v>0</v>
      </c>
      <c r="K610" t="s">
        <v>21</v>
      </c>
      <c r="L610" t="s">
        <v>45</v>
      </c>
      <c r="M610">
        <v>49</v>
      </c>
      <c r="N610" t="s">
        <v>21</v>
      </c>
      <c r="O610">
        <v>2</v>
      </c>
    </row>
    <row r="611" spans="1:15" x14ac:dyDescent="0.3">
      <c r="A611" t="s">
        <v>649</v>
      </c>
      <c r="B611">
        <v>50</v>
      </c>
      <c r="C611" t="s">
        <v>24</v>
      </c>
      <c r="D611" t="s">
        <v>35</v>
      </c>
      <c r="E611" t="s">
        <v>33</v>
      </c>
      <c r="F611" t="s">
        <v>27</v>
      </c>
      <c r="G611" t="s">
        <v>28</v>
      </c>
      <c r="H611">
        <v>83752</v>
      </c>
      <c r="I611">
        <v>19</v>
      </c>
      <c r="J611">
        <v>9</v>
      </c>
      <c r="K611" t="s">
        <v>21</v>
      </c>
      <c r="L611" t="s">
        <v>30</v>
      </c>
      <c r="M611">
        <v>65</v>
      </c>
      <c r="N611" t="s">
        <v>21</v>
      </c>
      <c r="O611">
        <v>3</v>
      </c>
    </row>
    <row r="612" spans="1:15" x14ac:dyDescent="0.3">
      <c r="A612" t="s">
        <v>650</v>
      </c>
      <c r="B612">
        <v>25</v>
      </c>
      <c r="C612" t="s">
        <v>16</v>
      </c>
      <c r="D612" t="s">
        <v>25</v>
      </c>
      <c r="E612" t="s">
        <v>50</v>
      </c>
      <c r="F612" t="s">
        <v>36</v>
      </c>
      <c r="G612" t="s">
        <v>20</v>
      </c>
      <c r="H612">
        <v>97004</v>
      </c>
      <c r="I612">
        <v>15</v>
      </c>
      <c r="J612">
        <v>2</v>
      </c>
      <c r="K612" t="s">
        <v>29</v>
      </c>
      <c r="L612" t="s">
        <v>45</v>
      </c>
      <c r="M612">
        <v>74</v>
      </c>
      <c r="N612" t="s">
        <v>29</v>
      </c>
      <c r="O612">
        <v>4</v>
      </c>
    </row>
    <row r="613" spans="1:15" x14ac:dyDescent="0.3">
      <c r="A613" t="s">
        <v>651</v>
      </c>
      <c r="B613">
        <v>53</v>
      </c>
      <c r="C613" t="s">
        <v>24</v>
      </c>
      <c r="D613" t="s">
        <v>32</v>
      </c>
      <c r="E613" t="s">
        <v>41</v>
      </c>
      <c r="F613" t="s">
        <v>38</v>
      </c>
      <c r="G613" t="s">
        <v>20</v>
      </c>
      <c r="H613">
        <v>76398</v>
      </c>
      <c r="I613">
        <v>5</v>
      </c>
      <c r="J613">
        <v>8</v>
      </c>
      <c r="K613" t="s">
        <v>21</v>
      </c>
      <c r="L613" t="s">
        <v>30</v>
      </c>
      <c r="M613">
        <v>92</v>
      </c>
      <c r="N613" t="s">
        <v>21</v>
      </c>
      <c r="O613">
        <v>1</v>
      </c>
    </row>
    <row r="614" spans="1:15" x14ac:dyDescent="0.3">
      <c r="A614" t="s">
        <v>652</v>
      </c>
      <c r="B614">
        <v>21</v>
      </c>
      <c r="C614" t="s">
        <v>16</v>
      </c>
      <c r="D614" t="s">
        <v>35</v>
      </c>
      <c r="E614" t="s">
        <v>41</v>
      </c>
      <c r="F614" t="s">
        <v>36</v>
      </c>
      <c r="G614" t="s">
        <v>28</v>
      </c>
      <c r="H614">
        <v>118458</v>
      </c>
      <c r="I614">
        <v>12</v>
      </c>
      <c r="J614">
        <v>2</v>
      </c>
      <c r="K614" t="s">
        <v>21</v>
      </c>
      <c r="L614" t="s">
        <v>22</v>
      </c>
      <c r="M614">
        <v>57</v>
      </c>
      <c r="N614" t="s">
        <v>21</v>
      </c>
      <c r="O614">
        <v>2</v>
      </c>
    </row>
    <row r="615" spans="1:15" x14ac:dyDescent="0.3">
      <c r="A615" t="s">
        <v>653</v>
      </c>
      <c r="B615">
        <v>38</v>
      </c>
      <c r="C615" t="s">
        <v>24</v>
      </c>
      <c r="D615" t="s">
        <v>17</v>
      </c>
      <c r="E615" t="s">
        <v>33</v>
      </c>
      <c r="F615" t="s">
        <v>19</v>
      </c>
      <c r="G615" t="s">
        <v>28</v>
      </c>
      <c r="H615">
        <v>60718</v>
      </c>
      <c r="I615">
        <v>3</v>
      </c>
      <c r="J615">
        <v>8</v>
      </c>
      <c r="K615" t="s">
        <v>29</v>
      </c>
      <c r="L615" t="s">
        <v>22</v>
      </c>
      <c r="M615">
        <v>55</v>
      </c>
      <c r="N615" t="s">
        <v>21</v>
      </c>
      <c r="O615">
        <v>4</v>
      </c>
    </row>
    <row r="616" spans="1:15" x14ac:dyDescent="0.3">
      <c r="A616" t="s">
        <v>654</v>
      </c>
      <c r="B616">
        <v>52</v>
      </c>
      <c r="C616" t="s">
        <v>24</v>
      </c>
      <c r="D616" t="s">
        <v>32</v>
      </c>
      <c r="E616" t="s">
        <v>26</v>
      </c>
      <c r="F616" t="s">
        <v>27</v>
      </c>
      <c r="G616" t="s">
        <v>20</v>
      </c>
      <c r="H616">
        <v>102916</v>
      </c>
      <c r="I616">
        <v>13</v>
      </c>
      <c r="J616">
        <v>6</v>
      </c>
      <c r="K616" t="s">
        <v>29</v>
      </c>
      <c r="L616" t="s">
        <v>45</v>
      </c>
      <c r="M616">
        <v>80</v>
      </c>
      <c r="N616" t="s">
        <v>29</v>
      </c>
      <c r="O616">
        <v>4</v>
      </c>
    </row>
    <row r="617" spans="1:15" x14ac:dyDescent="0.3">
      <c r="A617" t="s">
        <v>655</v>
      </c>
      <c r="B617">
        <v>31</v>
      </c>
      <c r="C617" t="s">
        <v>24</v>
      </c>
      <c r="D617" t="s">
        <v>32</v>
      </c>
      <c r="E617" t="s">
        <v>26</v>
      </c>
      <c r="F617" t="s">
        <v>27</v>
      </c>
      <c r="G617" t="s">
        <v>28</v>
      </c>
      <c r="H617">
        <v>46870</v>
      </c>
      <c r="I617">
        <v>0</v>
      </c>
      <c r="J617">
        <v>9</v>
      </c>
      <c r="K617" t="s">
        <v>29</v>
      </c>
      <c r="L617" t="s">
        <v>30</v>
      </c>
      <c r="M617">
        <v>60</v>
      </c>
      <c r="N617" t="s">
        <v>29</v>
      </c>
      <c r="O617">
        <v>2</v>
      </c>
    </row>
    <row r="618" spans="1:15" x14ac:dyDescent="0.3">
      <c r="A618" t="s">
        <v>656</v>
      </c>
      <c r="B618">
        <v>41</v>
      </c>
      <c r="C618" t="s">
        <v>16</v>
      </c>
      <c r="D618" t="s">
        <v>35</v>
      </c>
      <c r="E618" t="s">
        <v>18</v>
      </c>
      <c r="F618" t="s">
        <v>36</v>
      </c>
      <c r="G618" t="s">
        <v>28</v>
      </c>
      <c r="H618">
        <v>57394</v>
      </c>
      <c r="I618">
        <v>19</v>
      </c>
      <c r="J618">
        <v>0</v>
      </c>
      <c r="K618" t="s">
        <v>21</v>
      </c>
      <c r="L618" t="s">
        <v>47</v>
      </c>
      <c r="M618">
        <v>31</v>
      </c>
      <c r="N618" t="s">
        <v>21</v>
      </c>
      <c r="O618">
        <v>1</v>
      </c>
    </row>
    <row r="619" spans="1:15" x14ac:dyDescent="0.3">
      <c r="A619" t="s">
        <v>657</v>
      </c>
      <c r="B619">
        <v>46</v>
      </c>
      <c r="C619" t="s">
        <v>24</v>
      </c>
      <c r="D619" t="s">
        <v>44</v>
      </c>
      <c r="E619" t="s">
        <v>18</v>
      </c>
      <c r="F619" t="s">
        <v>19</v>
      </c>
      <c r="G619" t="s">
        <v>20</v>
      </c>
      <c r="H619">
        <v>72057</v>
      </c>
      <c r="I619">
        <v>4</v>
      </c>
      <c r="J619">
        <v>9</v>
      </c>
      <c r="K619" t="s">
        <v>21</v>
      </c>
      <c r="L619" t="s">
        <v>22</v>
      </c>
      <c r="M619">
        <v>42</v>
      </c>
      <c r="N619" t="s">
        <v>21</v>
      </c>
      <c r="O619">
        <v>1</v>
      </c>
    </row>
    <row r="620" spans="1:15" x14ac:dyDescent="0.3">
      <c r="A620" t="s">
        <v>658</v>
      </c>
      <c r="B620">
        <v>45</v>
      </c>
      <c r="C620" t="s">
        <v>16</v>
      </c>
      <c r="D620" t="s">
        <v>35</v>
      </c>
      <c r="E620" t="s">
        <v>50</v>
      </c>
      <c r="F620" t="s">
        <v>38</v>
      </c>
      <c r="G620" t="s">
        <v>28</v>
      </c>
      <c r="H620">
        <v>99795</v>
      </c>
      <c r="I620">
        <v>7</v>
      </c>
      <c r="J620">
        <v>4</v>
      </c>
      <c r="K620" t="s">
        <v>29</v>
      </c>
      <c r="L620" t="s">
        <v>30</v>
      </c>
      <c r="M620">
        <v>66</v>
      </c>
      <c r="N620" t="s">
        <v>29</v>
      </c>
      <c r="O620">
        <v>2</v>
      </c>
    </row>
    <row r="621" spans="1:15" x14ac:dyDescent="0.3">
      <c r="A621" t="s">
        <v>659</v>
      </c>
      <c r="B621">
        <v>42</v>
      </c>
      <c r="C621" t="s">
        <v>16</v>
      </c>
      <c r="D621" t="s">
        <v>32</v>
      </c>
      <c r="E621" t="s">
        <v>33</v>
      </c>
      <c r="F621" t="s">
        <v>38</v>
      </c>
      <c r="G621" t="s">
        <v>20</v>
      </c>
      <c r="H621">
        <v>100409</v>
      </c>
      <c r="I621">
        <v>11</v>
      </c>
      <c r="J621">
        <v>8</v>
      </c>
      <c r="K621" t="s">
        <v>29</v>
      </c>
      <c r="L621" t="s">
        <v>30</v>
      </c>
      <c r="M621">
        <v>22</v>
      </c>
      <c r="N621" t="s">
        <v>29</v>
      </c>
      <c r="O621">
        <v>4</v>
      </c>
    </row>
    <row r="622" spans="1:15" x14ac:dyDescent="0.3">
      <c r="A622" t="s">
        <v>660</v>
      </c>
      <c r="B622">
        <v>47</v>
      </c>
      <c r="C622" t="s">
        <v>16</v>
      </c>
      <c r="D622" t="s">
        <v>17</v>
      </c>
      <c r="E622" t="s">
        <v>18</v>
      </c>
      <c r="F622" t="s">
        <v>27</v>
      </c>
      <c r="G622" t="s">
        <v>20</v>
      </c>
      <c r="H622">
        <v>33016</v>
      </c>
      <c r="I622">
        <v>1</v>
      </c>
      <c r="J622">
        <v>2</v>
      </c>
      <c r="K622" t="s">
        <v>29</v>
      </c>
      <c r="L622" t="s">
        <v>30</v>
      </c>
      <c r="M622">
        <v>68</v>
      </c>
      <c r="N622" t="s">
        <v>29</v>
      </c>
      <c r="O622">
        <v>1</v>
      </c>
    </row>
    <row r="623" spans="1:15" x14ac:dyDescent="0.3">
      <c r="A623" t="s">
        <v>661</v>
      </c>
      <c r="B623">
        <v>33</v>
      </c>
      <c r="C623" t="s">
        <v>16</v>
      </c>
      <c r="D623" t="s">
        <v>32</v>
      </c>
      <c r="E623" t="s">
        <v>18</v>
      </c>
      <c r="F623" t="s">
        <v>36</v>
      </c>
      <c r="G623" t="s">
        <v>20</v>
      </c>
      <c r="H623">
        <v>62137</v>
      </c>
      <c r="I623">
        <v>11</v>
      </c>
      <c r="J623">
        <v>8</v>
      </c>
      <c r="K623" t="s">
        <v>29</v>
      </c>
      <c r="L623" t="s">
        <v>45</v>
      </c>
      <c r="M623">
        <v>81</v>
      </c>
      <c r="N623" t="s">
        <v>29</v>
      </c>
      <c r="O623">
        <v>2</v>
      </c>
    </row>
    <row r="624" spans="1:15" x14ac:dyDescent="0.3">
      <c r="A624" t="s">
        <v>662</v>
      </c>
      <c r="B624">
        <v>53</v>
      </c>
      <c r="C624" t="s">
        <v>16</v>
      </c>
      <c r="D624" t="s">
        <v>17</v>
      </c>
      <c r="E624" t="s">
        <v>33</v>
      </c>
      <c r="F624" t="s">
        <v>36</v>
      </c>
      <c r="G624" t="s">
        <v>20</v>
      </c>
      <c r="H624">
        <v>20153</v>
      </c>
      <c r="I624">
        <v>4</v>
      </c>
      <c r="J624">
        <v>4</v>
      </c>
      <c r="K624" t="s">
        <v>21</v>
      </c>
      <c r="L624" t="s">
        <v>47</v>
      </c>
      <c r="M624">
        <v>34</v>
      </c>
      <c r="N624" t="s">
        <v>29</v>
      </c>
      <c r="O624">
        <v>2</v>
      </c>
    </row>
    <row r="625" spans="1:15" x14ac:dyDescent="0.3">
      <c r="A625" t="s">
        <v>663</v>
      </c>
      <c r="B625">
        <v>54</v>
      </c>
      <c r="C625" t="s">
        <v>16</v>
      </c>
      <c r="D625" t="s">
        <v>40</v>
      </c>
      <c r="E625" t="s">
        <v>50</v>
      </c>
      <c r="F625" t="s">
        <v>38</v>
      </c>
      <c r="G625" t="s">
        <v>28</v>
      </c>
      <c r="H625">
        <v>27853</v>
      </c>
      <c r="I625">
        <v>4</v>
      </c>
      <c r="J625">
        <v>8</v>
      </c>
      <c r="K625" t="s">
        <v>21</v>
      </c>
      <c r="L625" t="s">
        <v>45</v>
      </c>
      <c r="M625">
        <v>53</v>
      </c>
      <c r="N625" t="s">
        <v>21</v>
      </c>
      <c r="O625">
        <v>2</v>
      </c>
    </row>
    <row r="626" spans="1:15" x14ac:dyDescent="0.3">
      <c r="A626" t="s">
        <v>664</v>
      </c>
      <c r="B626">
        <v>55</v>
      </c>
      <c r="C626" t="s">
        <v>16</v>
      </c>
      <c r="D626" t="s">
        <v>25</v>
      </c>
      <c r="E626" t="s">
        <v>18</v>
      </c>
      <c r="F626" t="s">
        <v>19</v>
      </c>
      <c r="G626" t="s">
        <v>20</v>
      </c>
      <c r="H626">
        <v>32379</v>
      </c>
      <c r="I626">
        <v>12</v>
      </c>
      <c r="J626">
        <v>9</v>
      </c>
      <c r="K626" t="s">
        <v>21</v>
      </c>
      <c r="L626" t="s">
        <v>22</v>
      </c>
      <c r="M626">
        <v>45</v>
      </c>
      <c r="N626" t="s">
        <v>21</v>
      </c>
      <c r="O626">
        <v>4</v>
      </c>
    </row>
    <row r="627" spans="1:15" x14ac:dyDescent="0.3">
      <c r="A627" t="s">
        <v>665</v>
      </c>
      <c r="B627">
        <v>21</v>
      </c>
      <c r="C627" t="s">
        <v>16</v>
      </c>
      <c r="D627" t="s">
        <v>32</v>
      </c>
      <c r="E627" t="s">
        <v>50</v>
      </c>
      <c r="F627" t="s">
        <v>19</v>
      </c>
      <c r="G627" t="s">
        <v>28</v>
      </c>
      <c r="H627">
        <v>35792</v>
      </c>
      <c r="I627">
        <v>8</v>
      </c>
      <c r="J627">
        <v>5</v>
      </c>
      <c r="K627" t="s">
        <v>21</v>
      </c>
      <c r="L627" t="s">
        <v>45</v>
      </c>
      <c r="M627">
        <v>17</v>
      </c>
      <c r="N627" t="s">
        <v>21</v>
      </c>
      <c r="O627">
        <v>1</v>
      </c>
    </row>
    <row r="628" spans="1:15" x14ac:dyDescent="0.3">
      <c r="A628" t="s">
        <v>666</v>
      </c>
      <c r="B628">
        <v>41</v>
      </c>
      <c r="C628" t="s">
        <v>16</v>
      </c>
      <c r="D628" t="s">
        <v>35</v>
      </c>
      <c r="E628" t="s">
        <v>41</v>
      </c>
      <c r="F628" t="s">
        <v>38</v>
      </c>
      <c r="G628" t="s">
        <v>28</v>
      </c>
      <c r="H628">
        <v>58367</v>
      </c>
      <c r="I628">
        <v>9</v>
      </c>
      <c r="J628">
        <v>8</v>
      </c>
      <c r="K628" t="s">
        <v>21</v>
      </c>
      <c r="L628" t="s">
        <v>30</v>
      </c>
      <c r="M628">
        <v>38</v>
      </c>
      <c r="N628" t="s">
        <v>21</v>
      </c>
      <c r="O628">
        <v>4</v>
      </c>
    </row>
    <row r="629" spans="1:15" x14ac:dyDescent="0.3">
      <c r="A629" t="s">
        <v>667</v>
      </c>
      <c r="B629">
        <v>26</v>
      </c>
      <c r="C629" t="s">
        <v>24</v>
      </c>
      <c r="D629" t="s">
        <v>40</v>
      </c>
      <c r="E629" t="s">
        <v>50</v>
      </c>
      <c r="F629" t="s">
        <v>38</v>
      </c>
      <c r="G629" t="s">
        <v>28</v>
      </c>
      <c r="H629">
        <v>38100</v>
      </c>
      <c r="I629">
        <v>0</v>
      </c>
      <c r="J629">
        <v>6</v>
      </c>
      <c r="K629" t="s">
        <v>29</v>
      </c>
      <c r="L629" t="s">
        <v>45</v>
      </c>
      <c r="M629">
        <v>98</v>
      </c>
      <c r="N629" t="s">
        <v>29</v>
      </c>
      <c r="O629">
        <v>3</v>
      </c>
    </row>
    <row r="630" spans="1:15" x14ac:dyDescent="0.3">
      <c r="A630" t="s">
        <v>668</v>
      </c>
      <c r="B630">
        <v>48</v>
      </c>
      <c r="C630" t="s">
        <v>24</v>
      </c>
      <c r="D630" t="s">
        <v>25</v>
      </c>
      <c r="E630" t="s">
        <v>26</v>
      </c>
      <c r="F630" t="s">
        <v>36</v>
      </c>
      <c r="G630" t="s">
        <v>28</v>
      </c>
      <c r="H630">
        <v>83456</v>
      </c>
      <c r="I630">
        <v>2</v>
      </c>
      <c r="J630">
        <v>6</v>
      </c>
      <c r="K630" t="s">
        <v>21</v>
      </c>
      <c r="L630" t="s">
        <v>30</v>
      </c>
      <c r="M630">
        <v>29</v>
      </c>
      <c r="N630" t="s">
        <v>29</v>
      </c>
      <c r="O630">
        <v>1</v>
      </c>
    </row>
    <row r="631" spans="1:15" x14ac:dyDescent="0.3">
      <c r="A631" t="s">
        <v>669</v>
      </c>
      <c r="B631">
        <v>37</v>
      </c>
      <c r="C631" t="s">
        <v>24</v>
      </c>
      <c r="D631" t="s">
        <v>35</v>
      </c>
      <c r="E631" t="s">
        <v>26</v>
      </c>
      <c r="F631" t="s">
        <v>19</v>
      </c>
      <c r="G631" t="s">
        <v>28</v>
      </c>
      <c r="H631">
        <v>31049</v>
      </c>
      <c r="I631">
        <v>17</v>
      </c>
      <c r="J631">
        <v>7</v>
      </c>
      <c r="K631" t="s">
        <v>29</v>
      </c>
      <c r="L631" t="s">
        <v>47</v>
      </c>
      <c r="M631">
        <v>70</v>
      </c>
      <c r="N631" t="s">
        <v>29</v>
      </c>
      <c r="O631">
        <v>4</v>
      </c>
    </row>
    <row r="632" spans="1:15" x14ac:dyDescent="0.3">
      <c r="A632" t="s">
        <v>670</v>
      </c>
      <c r="B632">
        <v>25</v>
      </c>
      <c r="C632" t="s">
        <v>24</v>
      </c>
      <c r="D632" t="s">
        <v>44</v>
      </c>
      <c r="E632" t="s">
        <v>50</v>
      </c>
      <c r="F632" t="s">
        <v>38</v>
      </c>
      <c r="G632" t="s">
        <v>20</v>
      </c>
      <c r="H632">
        <v>20786</v>
      </c>
      <c r="I632">
        <v>11</v>
      </c>
      <c r="J632">
        <v>6</v>
      </c>
      <c r="K632" t="s">
        <v>29</v>
      </c>
      <c r="L632" t="s">
        <v>45</v>
      </c>
      <c r="M632">
        <v>22</v>
      </c>
      <c r="N632" t="s">
        <v>29</v>
      </c>
      <c r="O632">
        <v>1</v>
      </c>
    </row>
    <row r="633" spans="1:15" x14ac:dyDescent="0.3">
      <c r="A633" t="s">
        <v>671</v>
      </c>
      <c r="B633">
        <v>51</v>
      </c>
      <c r="C633" t="s">
        <v>24</v>
      </c>
      <c r="D633" t="s">
        <v>35</v>
      </c>
      <c r="E633" t="s">
        <v>26</v>
      </c>
      <c r="F633" t="s">
        <v>38</v>
      </c>
      <c r="G633" t="s">
        <v>20</v>
      </c>
      <c r="H633">
        <v>89904</v>
      </c>
      <c r="I633">
        <v>2</v>
      </c>
      <c r="J633">
        <v>8</v>
      </c>
      <c r="K633" t="s">
        <v>29</v>
      </c>
      <c r="L633" t="s">
        <v>45</v>
      </c>
      <c r="M633">
        <v>9</v>
      </c>
      <c r="N633" t="s">
        <v>29</v>
      </c>
      <c r="O633">
        <v>3</v>
      </c>
    </row>
    <row r="634" spans="1:15" x14ac:dyDescent="0.3">
      <c r="A634" t="s">
        <v>672</v>
      </c>
      <c r="B634">
        <v>25</v>
      </c>
      <c r="C634" t="s">
        <v>16</v>
      </c>
      <c r="D634" t="s">
        <v>17</v>
      </c>
      <c r="E634" t="s">
        <v>41</v>
      </c>
      <c r="F634" t="s">
        <v>27</v>
      </c>
      <c r="G634" t="s">
        <v>20</v>
      </c>
      <c r="H634">
        <v>50699</v>
      </c>
      <c r="I634">
        <v>8</v>
      </c>
      <c r="J634">
        <v>8</v>
      </c>
      <c r="K634" t="s">
        <v>21</v>
      </c>
      <c r="L634" t="s">
        <v>45</v>
      </c>
      <c r="M634">
        <v>23</v>
      </c>
      <c r="N634" t="s">
        <v>21</v>
      </c>
      <c r="O634">
        <v>5</v>
      </c>
    </row>
    <row r="635" spans="1:15" x14ac:dyDescent="0.3">
      <c r="A635" t="s">
        <v>673</v>
      </c>
      <c r="B635">
        <v>58</v>
      </c>
      <c r="C635" t="s">
        <v>16</v>
      </c>
      <c r="D635" t="s">
        <v>17</v>
      </c>
      <c r="E635" t="s">
        <v>33</v>
      </c>
      <c r="F635" t="s">
        <v>38</v>
      </c>
      <c r="G635" t="s">
        <v>20</v>
      </c>
      <c r="H635">
        <v>67691</v>
      </c>
      <c r="I635">
        <v>1</v>
      </c>
      <c r="J635">
        <v>5</v>
      </c>
      <c r="K635" t="s">
        <v>29</v>
      </c>
      <c r="L635" t="s">
        <v>30</v>
      </c>
      <c r="M635">
        <v>46</v>
      </c>
      <c r="N635" t="s">
        <v>21</v>
      </c>
      <c r="O635">
        <v>2</v>
      </c>
    </row>
    <row r="636" spans="1:15" x14ac:dyDescent="0.3">
      <c r="A636" t="s">
        <v>674</v>
      </c>
      <c r="B636">
        <v>23</v>
      </c>
      <c r="C636" t="s">
        <v>16</v>
      </c>
      <c r="D636" t="s">
        <v>44</v>
      </c>
      <c r="E636" t="s">
        <v>26</v>
      </c>
      <c r="F636" t="s">
        <v>38</v>
      </c>
      <c r="G636" t="s">
        <v>28</v>
      </c>
      <c r="H636">
        <v>57040</v>
      </c>
      <c r="I636">
        <v>2</v>
      </c>
      <c r="J636">
        <v>6</v>
      </c>
      <c r="K636" t="s">
        <v>21</v>
      </c>
      <c r="L636" t="s">
        <v>30</v>
      </c>
      <c r="M636">
        <v>22</v>
      </c>
      <c r="N636" t="s">
        <v>21</v>
      </c>
      <c r="O636">
        <v>4</v>
      </c>
    </row>
    <row r="637" spans="1:15" x14ac:dyDescent="0.3">
      <c r="A637" t="s">
        <v>675</v>
      </c>
      <c r="B637">
        <v>43</v>
      </c>
      <c r="C637" t="s">
        <v>16</v>
      </c>
      <c r="D637" t="s">
        <v>40</v>
      </c>
      <c r="E637" t="s">
        <v>26</v>
      </c>
      <c r="F637" t="s">
        <v>19</v>
      </c>
      <c r="G637" t="s">
        <v>20</v>
      </c>
      <c r="H637">
        <v>112990</v>
      </c>
      <c r="I637">
        <v>13</v>
      </c>
      <c r="J637">
        <v>1</v>
      </c>
      <c r="K637" t="s">
        <v>29</v>
      </c>
      <c r="L637" t="s">
        <v>45</v>
      </c>
      <c r="M637">
        <v>36</v>
      </c>
      <c r="N637" t="s">
        <v>21</v>
      </c>
      <c r="O637">
        <v>3</v>
      </c>
    </row>
    <row r="638" spans="1:15" x14ac:dyDescent="0.3">
      <c r="A638" t="s">
        <v>676</v>
      </c>
      <c r="B638">
        <v>57</v>
      </c>
      <c r="C638" t="s">
        <v>16</v>
      </c>
      <c r="D638" t="s">
        <v>25</v>
      </c>
      <c r="E638" t="s">
        <v>50</v>
      </c>
      <c r="F638" t="s">
        <v>36</v>
      </c>
      <c r="G638" t="s">
        <v>28</v>
      </c>
      <c r="H638">
        <v>77986</v>
      </c>
      <c r="I638">
        <v>3</v>
      </c>
      <c r="J638">
        <v>8</v>
      </c>
      <c r="K638" t="s">
        <v>21</v>
      </c>
      <c r="L638" t="s">
        <v>45</v>
      </c>
      <c r="M638">
        <v>25</v>
      </c>
      <c r="N638" t="s">
        <v>21</v>
      </c>
      <c r="O638">
        <v>3</v>
      </c>
    </row>
    <row r="639" spans="1:15" x14ac:dyDescent="0.3">
      <c r="A639" t="s">
        <v>677</v>
      </c>
      <c r="B639">
        <v>57</v>
      </c>
      <c r="C639" t="s">
        <v>16</v>
      </c>
      <c r="D639" t="s">
        <v>35</v>
      </c>
      <c r="E639" t="s">
        <v>41</v>
      </c>
      <c r="F639" t="s">
        <v>19</v>
      </c>
      <c r="G639" t="s">
        <v>28</v>
      </c>
      <c r="H639">
        <v>58762</v>
      </c>
      <c r="I639">
        <v>18</v>
      </c>
      <c r="J639">
        <v>0</v>
      </c>
      <c r="K639" t="s">
        <v>29</v>
      </c>
      <c r="L639" t="s">
        <v>47</v>
      </c>
      <c r="M639">
        <v>14</v>
      </c>
      <c r="N639" t="s">
        <v>29</v>
      </c>
      <c r="O639">
        <v>1</v>
      </c>
    </row>
    <row r="640" spans="1:15" x14ac:dyDescent="0.3">
      <c r="A640" t="s">
        <v>678</v>
      </c>
      <c r="B640">
        <v>30</v>
      </c>
      <c r="C640" t="s">
        <v>16</v>
      </c>
      <c r="D640" t="s">
        <v>17</v>
      </c>
      <c r="E640" t="s">
        <v>33</v>
      </c>
      <c r="F640" t="s">
        <v>36</v>
      </c>
      <c r="G640" t="s">
        <v>20</v>
      </c>
      <c r="H640">
        <v>43600</v>
      </c>
      <c r="I640">
        <v>12</v>
      </c>
      <c r="J640">
        <v>0</v>
      </c>
      <c r="K640" t="s">
        <v>21</v>
      </c>
      <c r="L640" t="s">
        <v>47</v>
      </c>
      <c r="M640">
        <v>41</v>
      </c>
      <c r="N640" t="s">
        <v>29</v>
      </c>
      <c r="O640">
        <v>1</v>
      </c>
    </row>
    <row r="641" spans="1:15" x14ac:dyDescent="0.3">
      <c r="A641" t="s">
        <v>679</v>
      </c>
      <c r="B641">
        <v>30</v>
      </c>
      <c r="C641" t="s">
        <v>24</v>
      </c>
      <c r="D641" t="s">
        <v>40</v>
      </c>
      <c r="E641" t="s">
        <v>50</v>
      </c>
      <c r="F641" t="s">
        <v>27</v>
      </c>
      <c r="G641" t="s">
        <v>20</v>
      </c>
      <c r="H641">
        <v>114774</v>
      </c>
      <c r="I641">
        <v>6</v>
      </c>
      <c r="J641">
        <v>2</v>
      </c>
      <c r="K641" t="s">
        <v>29</v>
      </c>
      <c r="L641" t="s">
        <v>22</v>
      </c>
      <c r="M641">
        <v>53</v>
      </c>
      <c r="N641" t="s">
        <v>29</v>
      </c>
      <c r="O641">
        <v>2</v>
      </c>
    </row>
    <row r="642" spans="1:15" x14ac:dyDescent="0.3">
      <c r="A642" t="s">
        <v>680</v>
      </c>
      <c r="B642">
        <v>39</v>
      </c>
      <c r="C642" t="s">
        <v>24</v>
      </c>
      <c r="D642" t="s">
        <v>44</v>
      </c>
      <c r="E642" t="s">
        <v>50</v>
      </c>
      <c r="F642" t="s">
        <v>38</v>
      </c>
      <c r="G642" t="s">
        <v>20</v>
      </c>
      <c r="H642">
        <v>110777</v>
      </c>
      <c r="I642">
        <v>11</v>
      </c>
      <c r="J642">
        <v>5</v>
      </c>
      <c r="K642" t="s">
        <v>29</v>
      </c>
      <c r="L642" t="s">
        <v>47</v>
      </c>
      <c r="M642">
        <v>90</v>
      </c>
      <c r="N642" t="s">
        <v>29</v>
      </c>
      <c r="O642">
        <v>1</v>
      </c>
    </row>
    <row r="643" spans="1:15" x14ac:dyDescent="0.3">
      <c r="A643" t="s">
        <v>681</v>
      </c>
      <c r="B643">
        <v>37</v>
      </c>
      <c r="C643" t="s">
        <v>24</v>
      </c>
      <c r="D643" t="s">
        <v>32</v>
      </c>
      <c r="E643" t="s">
        <v>41</v>
      </c>
      <c r="F643" t="s">
        <v>27</v>
      </c>
      <c r="G643" t="s">
        <v>20</v>
      </c>
      <c r="H643">
        <v>39810</v>
      </c>
      <c r="I643">
        <v>2</v>
      </c>
      <c r="J643">
        <v>4</v>
      </c>
      <c r="K643" t="s">
        <v>29</v>
      </c>
      <c r="L643" t="s">
        <v>47</v>
      </c>
      <c r="M643">
        <v>17</v>
      </c>
      <c r="N643" t="s">
        <v>29</v>
      </c>
      <c r="O643">
        <v>4</v>
      </c>
    </row>
    <row r="644" spans="1:15" x14ac:dyDescent="0.3">
      <c r="A644" t="s">
        <v>682</v>
      </c>
      <c r="B644">
        <v>41</v>
      </c>
      <c r="C644" t="s">
        <v>24</v>
      </c>
      <c r="D644" t="s">
        <v>17</v>
      </c>
      <c r="E644" t="s">
        <v>33</v>
      </c>
      <c r="F644" t="s">
        <v>36</v>
      </c>
      <c r="G644" t="s">
        <v>28</v>
      </c>
      <c r="H644">
        <v>105703</v>
      </c>
      <c r="I644">
        <v>8</v>
      </c>
      <c r="J644">
        <v>1</v>
      </c>
      <c r="K644" t="s">
        <v>29</v>
      </c>
      <c r="L644" t="s">
        <v>47</v>
      </c>
      <c r="M644">
        <v>59</v>
      </c>
      <c r="N644" t="s">
        <v>21</v>
      </c>
      <c r="O644">
        <v>4</v>
      </c>
    </row>
    <row r="645" spans="1:15" x14ac:dyDescent="0.3">
      <c r="A645" t="s">
        <v>683</v>
      </c>
      <c r="B645">
        <v>34</v>
      </c>
      <c r="C645" t="s">
        <v>16</v>
      </c>
      <c r="D645" t="s">
        <v>44</v>
      </c>
      <c r="E645" t="s">
        <v>41</v>
      </c>
      <c r="F645" t="s">
        <v>19</v>
      </c>
      <c r="G645" t="s">
        <v>28</v>
      </c>
      <c r="H645">
        <v>107347</v>
      </c>
      <c r="I645">
        <v>1</v>
      </c>
      <c r="J645">
        <v>8</v>
      </c>
      <c r="K645" t="s">
        <v>21</v>
      </c>
      <c r="L645" t="s">
        <v>30</v>
      </c>
      <c r="M645">
        <v>21</v>
      </c>
      <c r="N645" t="s">
        <v>21</v>
      </c>
      <c r="O645">
        <v>4</v>
      </c>
    </row>
    <row r="646" spans="1:15" x14ac:dyDescent="0.3">
      <c r="A646" t="s">
        <v>684</v>
      </c>
      <c r="B646">
        <v>29</v>
      </c>
      <c r="C646" t="s">
        <v>16</v>
      </c>
      <c r="D646" t="s">
        <v>35</v>
      </c>
      <c r="E646" t="s">
        <v>33</v>
      </c>
      <c r="F646" t="s">
        <v>19</v>
      </c>
      <c r="G646" t="s">
        <v>20</v>
      </c>
      <c r="H646">
        <v>77204</v>
      </c>
      <c r="I646">
        <v>8</v>
      </c>
      <c r="J646">
        <v>9</v>
      </c>
      <c r="K646" t="s">
        <v>21</v>
      </c>
      <c r="L646" t="s">
        <v>47</v>
      </c>
      <c r="M646">
        <v>13</v>
      </c>
      <c r="N646" t="s">
        <v>21</v>
      </c>
      <c r="O646">
        <v>5</v>
      </c>
    </row>
    <row r="647" spans="1:15" x14ac:dyDescent="0.3">
      <c r="A647" t="s">
        <v>685</v>
      </c>
      <c r="B647">
        <v>21</v>
      </c>
      <c r="C647" t="s">
        <v>16</v>
      </c>
      <c r="D647" t="s">
        <v>25</v>
      </c>
      <c r="E647" t="s">
        <v>41</v>
      </c>
      <c r="F647" t="s">
        <v>27</v>
      </c>
      <c r="G647" t="s">
        <v>28</v>
      </c>
      <c r="H647">
        <v>40085</v>
      </c>
      <c r="I647">
        <v>11</v>
      </c>
      <c r="J647">
        <v>3</v>
      </c>
      <c r="K647" t="s">
        <v>21</v>
      </c>
      <c r="L647" t="s">
        <v>47</v>
      </c>
      <c r="M647">
        <v>92</v>
      </c>
      <c r="N647" t="s">
        <v>29</v>
      </c>
      <c r="O647">
        <v>4</v>
      </c>
    </row>
    <row r="648" spans="1:15" x14ac:dyDescent="0.3">
      <c r="A648" t="s">
        <v>686</v>
      </c>
      <c r="B648">
        <v>33</v>
      </c>
      <c r="C648" t="s">
        <v>24</v>
      </c>
      <c r="D648" t="s">
        <v>17</v>
      </c>
      <c r="E648" t="s">
        <v>50</v>
      </c>
      <c r="F648" t="s">
        <v>36</v>
      </c>
      <c r="G648" t="s">
        <v>28</v>
      </c>
      <c r="H648">
        <v>66854</v>
      </c>
      <c r="I648">
        <v>11</v>
      </c>
      <c r="J648">
        <v>3</v>
      </c>
      <c r="K648" t="s">
        <v>29</v>
      </c>
      <c r="L648" t="s">
        <v>45</v>
      </c>
      <c r="M648">
        <v>48</v>
      </c>
      <c r="N648" t="s">
        <v>29</v>
      </c>
      <c r="O648">
        <v>1</v>
      </c>
    </row>
    <row r="649" spans="1:15" x14ac:dyDescent="0.3">
      <c r="A649" t="s">
        <v>687</v>
      </c>
      <c r="B649">
        <v>24</v>
      </c>
      <c r="C649" t="s">
        <v>16</v>
      </c>
      <c r="D649" t="s">
        <v>17</v>
      </c>
      <c r="E649" t="s">
        <v>50</v>
      </c>
      <c r="F649" t="s">
        <v>27</v>
      </c>
      <c r="G649" t="s">
        <v>28</v>
      </c>
      <c r="H649">
        <v>94797</v>
      </c>
      <c r="I649">
        <v>14</v>
      </c>
      <c r="J649">
        <v>4</v>
      </c>
      <c r="K649" t="s">
        <v>29</v>
      </c>
      <c r="L649" t="s">
        <v>30</v>
      </c>
      <c r="M649">
        <v>82</v>
      </c>
      <c r="N649" t="s">
        <v>29</v>
      </c>
      <c r="O649">
        <v>1</v>
      </c>
    </row>
    <row r="650" spans="1:15" x14ac:dyDescent="0.3">
      <c r="A650" t="s">
        <v>688</v>
      </c>
      <c r="B650">
        <v>21</v>
      </c>
      <c r="C650" t="s">
        <v>16</v>
      </c>
      <c r="D650" t="s">
        <v>35</v>
      </c>
      <c r="E650" t="s">
        <v>18</v>
      </c>
      <c r="F650" t="s">
        <v>27</v>
      </c>
      <c r="G650" t="s">
        <v>20</v>
      </c>
      <c r="H650">
        <v>104269</v>
      </c>
      <c r="I650">
        <v>1</v>
      </c>
      <c r="J650">
        <v>7</v>
      </c>
      <c r="K650" t="s">
        <v>29</v>
      </c>
      <c r="L650" t="s">
        <v>22</v>
      </c>
      <c r="M650">
        <v>50</v>
      </c>
      <c r="N650" t="s">
        <v>29</v>
      </c>
      <c r="O650">
        <v>4</v>
      </c>
    </row>
    <row r="651" spans="1:15" x14ac:dyDescent="0.3">
      <c r="A651" t="s">
        <v>689</v>
      </c>
      <c r="B651">
        <v>52</v>
      </c>
      <c r="C651" t="s">
        <v>16</v>
      </c>
      <c r="D651" t="s">
        <v>32</v>
      </c>
      <c r="E651" t="s">
        <v>26</v>
      </c>
      <c r="F651" t="s">
        <v>38</v>
      </c>
      <c r="G651" t="s">
        <v>28</v>
      </c>
      <c r="H651">
        <v>59779</v>
      </c>
      <c r="I651">
        <v>17</v>
      </c>
      <c r="J651">
        <v>9</v>
      </c>
      <c r="K651" t="s">
        <v>29</v>
      </c>
      <c r="L651" t="s">
        <v>22</v>
      </c>
      <c r="M651">
        <v>12</v>
      </c>
      <c r="N651" t="s">
        <v>21</v>
      </c>
      <c r="O651">
        <v>3</v>
      </c>
    </row>
    <row r="652" spans="1:15" x14ac:dyDescent="0.3">
      <c r="A652" t="s">
        <v>690</v>
      </c>
      <c r="B652">
        <v>54</v>
      </c>
      <c r="C652" t="s">
        <v>24</v>
      </c>
      <c r="D652" t="s">
        <v>40</v>
      </c>
      <c r="E652" t="s">
        <v>41</v>
      </c>
      <c r="F652" t="s">
        <v>27</v>
      </c>
      <c r="G652" t="s">
        <v>20</v>
      </c>
      <c r="H652">
        <v>76207</v>
      </c>
      <c r="I652">
        <v>12</v>
      </c>
      <c r="J652">
        <v>3</v>
      </c>
      <c r="K652" t="s">
        <v>29</v>
      </c>
      <c r="L652" t="s">
        <v>47</v>
      </c>
      <c r="M652">
        <v>41</v>
      </c>
      <c r="N652" t="s">
        <v>29</v>
      </c>
      <c r="O652">
        <v>3</v>
      </c>
    </row>
    <row r="653" spans="1:15" x14ac:dyDescent="0.3">
      <c r="A653" t="s">
        <v>691</v>
      </c>
      <c r="B653">
        <v>48</v>
      </c>
      <c r="C653" t="s">
        <v>16</v>
      </c>
      <c r="D653" t="s">
        <v>25</v>
      </c>
      <c r="E653" t="s">
        <v>18</v>
      </c>
      <c r="F653" t="s">
        <v>38</v>
      </c>
      <c r="G653" t="s">
        <v>20</v>
      </c>
      <c r="H653">
        <v>114615</v>
      </c>
      <c r="I653">
        <v>13</v>
      </c>
      <c r="J653">
        <v>4</v>
      </c>
      <c r="K653" t="s">
        <v>29</v>
      </c>
      <c r="L653" t="s">
        <v>22</v>
      </c>
      <c r="M653">
        <v>23</v>
      </c>
      <c r="N653" t="s">
        <v>21</v>
      </c>
      <c r="O653">
        <v>3</v>
      </c>
    </row>
    <row r="654" spans="1:15" x14ac:dyDescent="0.3">
      <c r="A654" t="s">
        <v>692</v>
      </c>
      <c r="B654">
        <v>51</v>
      </c>
      <c r="C654" t="s">
        <v>24</v>
      </c>
      <c r="D654" t="s">
        <v>17</v>
      </c>
      <c r="E654" t="s">
        <v>26</v>
      </c>
      <c r="F654" t="s">
        <v>38</v>
      </c>
      <c r="G654" t="s">
        <v>28</v>
      </c>
      <c r="H654">
        <v>53980</v>
      </c>
      <c r="I654">
        <v>4</v>
      </c>
      <c r="J654">
        <v>3</v>
      </c>
      <c r="K654" t="s">
        <v>21</v>
      </c>
      <c r="L654" t="s">
        <v>22</v>
      </c>
      <c r="M654">
        <v>67</v>
      </c>
      <c r="N654" t="s">
        <v>29</v>
      </c>
      <c r="O654">
        <v>2</v>
      </c>
    </row>
    <row r="655" spans="1:15" x14ac:dyDescent="0.3">
      <c r="A655" t="s">
        <v>693</v>
      </c>
      <c r="B655">
        <v>28</v>
      </c>
      <c r="C655" t="s">
        <v>24</v>
      </c>
      <c r="D655" t="s">
        <v>25</v>
      </c>
      <c r="E655" t="s">
        <v>41</v>
      </c>
      <c r="F655" t="s">
        <v>19</v>
      </c>
      <c r="G655" t="s">
        <v>28</v>
      </c>
      <c r="H655">
        <v>76117</v>
      </c>
      <c r="I655">
        <v>9</v>
      </c>
      <c r="J655">
        <v>5</v>
      </c>
      <c r="K655" t="s">
        <v>21</v>
      </c>
      <c r="L655" t="s">
        <v>22</v>
      </c>
      <c r="M655">
        <v>96</v>
      </c>
      <c r="N655" t="s">
        <v>21</v>
      </c>
      <c r="O655">
        <v>5</v>
      </c>
    </row>
    <row r="656" spans="1:15" x14ac:dyDescent="0.3">
      <c r="A656" t="s">
        <v>694</v>
      </c>
      <c r="B656">
        <v>59</v>
      </c>
      <c r="C656" t="s">
        <v>24</v>
      </c>
      <c r="D656" t="s">
        <v>17</v>
      </c>
      <c r="E656" t="s">
        <v>33</v>
      </c>
      <c r="F656" t="s">
        <v>38</v>
      </c>
      <c r="G656" t="s">
        <v>20</v>
      </c>
      <c r="H656">
        <v>34141</v>
      </c>
      <c r="I656">
        <v>11</v>
      </c>
      <c r="J656">
        <v>2</v>
      </c>
      <c r="K656" t="s">
        <v>21</v>
      </c>
      <c r="L656" t="s">
        <v>47</v>
      </c>
      <c r="M656">
        <v>50</v>
      </c>
      <c r="N656" t="s">
        <v>29</v>
      </c>
      <c r="O656">
        <v>4</v>
      </c>
    </row>
    <row r="657" spans="1:15" x14ac:dyDescent="0.3">
      <c r="A657" t="s">
        <v>695</v>
      </c>
      <c r="B657">
        <v>46</v>
      </c>
      <c r="C657" t="s">
        <v>24</v>
      </c>
      <c r="D657" t="s">
        <v>25</v>
      </c>
      <c r="E657" t="s">
        <v>26</v>
      </c>
      <c r="F657" t="s">
        <v>38</v>
      </c>
      <c r="G657" t="s">
        <v>28</v>
      </c>
      <c r="H657">
        <v>29344</v>
      </c>
      <c r="I657">
        <v>9</v>
      </c>
      <c r="J657">
        <v>7</v>
      </c>
      <c r="K657" t="s">
        <v>21</v>
      </c>
      <c r="L657" t="s">
        <v>22</v>
      </c>
      <c r="M657">
        <v>98</v>
      </c>
      <c r="N657" t="s">
        <v>29</v>
      </c>
      <c r="O657">
        <v>2</v>
      </c>
    </row>
    <row r="658" spans="1:15" x14ac:dyDescent="0.3">
      <c r="A658" t="s">
        <v>696</v>
      </c>
      <c r="B658">
        <v>54</v>
      </c>
      <c r="C658" t="s">
        <v>16</v>
      </c>
      <c r="D658" t="s">
        <v>44</v>
      </c>
      <c r="E658" t="s">
        <v>50</v>
      </c>
      <c r="F658" t="s">
        <v>19</v>
      </c>
      <c r="G658" t="s">
        <v>28</v>
      </c>
      <c r="H658">
        <v>35896</v>
      </c>
      <c r="I658">
        <v>10</v>
      </c>
      <c r="J658">
        <v>5</v>
      </c>
      <c r="K658" t="s">
        <v>21</v>
      </c>
      <c r="L658" t="s">
        <v>47</v>
      </c>
      <c r="M658">
        <v>75</v>
      </c>
      <c r="N658" t="s">
        <v>21</v>
      </c>
      <c r="O658">
        <v>3</v>
      </c>
    </row>
    <row r="659" spans="1:15" x14ac:dyDescent="0.3">
      <c r="A659" t="s">
        <v>697</v>
      </c>
      <c r="B659">
        <v>23</v>
      </c>
      <c r="C659" t="s">
        <v>24</v>
      </c>
      <c r="D659" t="s">
        <v>17</v>
      </c>
      <c r="E659" t="s">
        <v>18</v>
      </c>
      <c r="F659" t="s">
        <v>27</v>
      </c>
      <c r="G659" t="s">
        <v>20</v>
      </c>
      <c r="H659">
        <v>109353</v>
      </c>
      <c r="I659">
        <v>1</v>
      </c>
      <c r="J659">
        <v>9</v>
      </c>
      <c r="K659" t="s">
        <v>21</v>
      </c>
      <c r="L659" t="s">
        <v>45</v>
      </c>
      <c r="M659">
        <v>30</v>
      </c>
      <c r="N659" t="s">
        <v>21</v>
      </c>
      <c r="O659">
        <v>4</v>
      </c>
    </row>
    <row r="660" spans="1:15" x14ac:dyDescent="0.3">
      <c r="A660" t="s">
        <v>698</v>
      </c>
      <c r="B660">
        <v>32</v>
      </c>
      <c r="C660" t="s">
        <v>24</v>
      </c>
      <c r="D660" t="s">
        <v>25</v>
      </c>
      <c r="E660" t="s">
        <v>26</v>
      </c>
      <c r="F660" t="s">
        <v>36</v>
      </c>
      <c r="G660" t="s">
        <v>20</v>
      </c>
      <c r="H660">
        <v>49813</v>
      </c>
      <c r="I660">
        <v>4</v>
      </c>
      <c r="J660">
        <v>4</v>
      </c>
      <c r="K660" t="s">
        <v>21</v>
      </c>
      <c r="L660" t="s">
        <v>45</v>
      </c>
      <c r="M660">
        <v>50</v>
      </c>
      <c r="N660" t="s">
        <v>29</v>
      </c>
      <c r="O660">
        <v>2</v>
      </c>
    </row>
    <row r="661" spans="1:15" x14ac:dyDescent="0.3">
      <c r="A661" t="s">
        <v>699</v>
      </c>
      <c r="B661">
        <v>21</v>
      </c>
      <c r="C661" t="s">
        <v>16</v>
      </c>
      <c r="D661" t="s">
        <v>40</v>
      </c>
      <c r="E661" t="s">
        <v>26</v>
      </c>
      <c r="F661" t="s">
        <v>36</v>
      </c>
      <c r="G661" t="s">
        <v>20</v>
      </c>
      <c r="H661">
        <v>104431</v>
      </c>
      <c r="I661">
        <v>6</v>
      </c>
      <c r="J661">
        <v>1</v>
      </c>
      <c r="K661" t="s">
        <v>21</v>
      </c>
      <c r="L661" t="s">
        <v>22</v>
      </c>
      <c r="M661">
        <v>50</v>
      </c>
      <c r="N661" t="s">
        <v>21</v>
      </c>
      <c r="O661">
        <v>1</v>
      </c>
    </row>
    <row r="662" spans="1:15" x14ac:dyDescent="0.3">
      <c r="A662" t="s">
        <v>700</v>
      </c>
      <c r="B662">
        <v>25</v>
      </c>
      <c r="C662" t="s">
        <v>16</v>
      </c>
      <c r="D662" t="s">
        <v>44</v>
      </c>
      <c r="E662" t="s">
        <v>50</v>
      </c>
      <c r="F662" t="s">
        <v>36</v>
      </c>
      <c r="G662" t="s">
        <v>20</v>
      </c>
      <c r="H662">
        <v>85679</v>
      </c>
      <c r="I662">
        <v>5</v>
      </c>
      <c r="J662">
        <v>9</v>
      </c>
      <c r="K662" t="s">
        <v>29</v>
      </c>
      <c r="L662" t="s">
        <v>45</v>
      </c>
      <c r="M662">
        <v>79</v>
      </c>
      <c r="N662" t="s">
        <v>29</v>
      </c>
      <c r="O662">
        <v>3</v>
      </c>
    </row>
    <row r="663" spans="1:15" x14ac:dyDescent="0.3">
      <c r="A663" t="s">
        <v>701</v>
      </c>
      <c r="B663">
        <v>50</v>
      </c>
      <c r="C663" t="s">
        <v>24</v>
      </c>
      <c r="D663" t="s">
        <v>44</v>
      </c>
      <c r="E663" t="s">
        <v>41</v>
      </c>
      <c r="F663" t="s">
        <v>27</v>
      </c>
      <c r="G663" t="s">
        <v>28</v>
      </c>
      <c r="H663">
        <v>30681</v>
      </c>
      <c r="I663">
        <v>2</v>
      </c>
      <c r="J663">
        <v>9</v>
      </c>
      <c r="K663" t="s">
        <v>29</v>
      </c>
      <c r="L663" t="s">
        <v>47</v>
      </c>
      <c r="M663">
        <v>18</v>
      </c>
      <c r="N663" t="s">
        <v>29</v>
      </c>
      <c r="O663">
        <v>2</v>
      </c>
    </row>
    <row r="664" spans="1:15" x14ac:dyDescent="0.3">
      <c r="A664" t="s">
        <v>702</v>
      </c>
      <c r="B664">
        <v>50</v>
      </c>
      <c r="C664" t="s">
        <v>16</v>
      </c>
      <c r="D664" t="s">
        <v>40</v>
      </c>
      <c r="E664" t="s">
        <v>33</v>
      </c>
      <c r="F664" t="s">
        <v>38</v>
      </c>
      <c r="G664" t="s">
        <v>28</v>
      </c>
      <c r="H664">
        <v>92903</v>
      </c>
      <c r="I664">
        <v>12</v>
      </c>
      <c r="J664">
        <v>6</v>
      </c>
      <c r="K664" t="s">
        <v>29</v>
      </c>
      <c r="L664" t="s">
        <v>45</v>
      </c>
      <c r="M664">
        <v>89</v>
      </c>
      <c r="N664" t="s">
        <v>21</v>
      </c>
      <c r="O664">
        <v>1</v>
      </c>
    </row>
    <row r="665" spans="1:15" x14ac:dyDescent="0.3">
      <c r="A665" t="s">
        <v>703</v>
      </c>
      <c r="B665">
        <v>37</v>
      </c>
      <c r="C665" t="s">
        <v>24</v>
      </c>
      <c r="D665" t="s">
        <v>25</v>
      </c>
      <c r="E665" t="s">
        <v>50</v>
      </c>
      <c r="F665" t="s">
        <v>36</v>
      </c>
      <c r="G665" t="s">
        <v>20</v>
      </c>
      <c r="H665">
        <v>23228</v>
      </c>
      <c r="I665">
        <v>2</v>
      </c>
      <c r="J665">
        <v>1</v>
      </c>
      <c r="K665" t="s">
        <v>29</v>
      </c>
      <c r="L665" t="s">
        <v>22</v>
      </c>
      <c r="M665">
        <v>67</v>
      </c>
      <c r="N665" t="s">
        <v>29</v>
      </c>
      <c r="O665">
        <v>3</v>
      </c>
    </row>
    <row r="666" spans="1:15" x14ac:dyDescent="0.3">
      <c r="A666" t="s">
        <v>704</v>
      </c>
      <c r="B666">
        <v>43</v>
      </c>
      <c r="C666" t="s">
        <v>24</v>
      </c>
      <c r="D666" t="s">
        <v>35</v>
      </c>
      <c r="E666" t="s">
        <v>33</v>
      </c>
      <c r="F666" t="s">
        <v>27</v>
      </c>
      <c r="G666" t="s">
        <v>20</v>
      </c>
      <c r="H666">
        <v>24582</v>
      </c>
      <c r="I666">
        <v>5</v>
      </c>
      <c r="J666">
        <v>0</v>
      </c>
      <c r="K666" t="s">
        <v>29</v>
      </c>
      <c r="L666" t="s">
        <v>47</v>
      </c>
      <c r="M666">
        <v>76</v>
      </c>
      <c r="N666" t="s">
        <v>29</v>
      </c>
      <c r="O666">
        <v>5</v>
      </c>
    </row>
    <row r="667" spans="1:15" x14ac:dyDescent="0.3">
      <c r="A667" t="s">
        <v>705</v>
      </c>
      <c r="B667">
        <v>35</v>
      </c>
      <c r="C667" t="s">
        <v>24</v>
      </c>
      <c r="D667" t="s">
        <v>40</v>
      </c>
      <c r="E667" t="s">
        <v>41</v>
      </c>
      <c r="F667" t="s">
        <v>38</v>
      </c>
      <c r="G667" t="s">
        <v>20</v>
      </c>
      <c r="H667">
        <v>98683</v>
      </c>
      <c r="I667">
        <v>10</v>
      </c>
      <c r="J667">
        <v>6</v>
      </c>
      <c r="K667" t="s">
        <v>29</v>
      </c>
      <c r="L667" t="s">
        <v>30</v>
      </c>
      <c r="M667">
        <v>7</v>
      </c>
      <c r="N667" t="s">
        <v>21</v>
      </c>
      <c r="O667">
        <v>3</v>
      </c>
    </row>
    <row r="668" spans="1:15" x14ac:dyDescent="0.3">
      <c r="A668" t="s">
        <v>706</v>
      </c>
      <c r="B668">
        <v>57</v>
      </c>
      <c r="C668" t="s">
        <v>24</v>
      </c>
      <c r="D668" t="s">
        <v>25</v>
      </c>
      <c r="E668" t="s">
        <v>26</v>
      </c>
      <c r="F668" t="s">
        <v>19</v>
      </c>
      <c r="G668" t="s">
        <v>28</v>
      </c>
      <c r="H668">
        <v>31397</v>
      </c>
      <c r="I668">
        <v>16</v>
      </c>
      <c r="J668">
        <v>4</v>
      </c>
      <c r="K668" t="s">
        <v>29</v>
      </c>
      <c r="L668" t="s">
        <v>47</v>
      </c>
      <c r="M668">
        <v>32</v>
      </c>
      <c r="N668" t="s">
        <v>29</v>
      </c>
      <c r="O668">
        <v>5</v>
      </c>
    </row>
    <row r="669" spans="1:15" x14ac:dyDescent="0.3">
      <c r="A669" t="s">
        <v>707</v>
      </c>
      <c r="B669">
        <v>41</v>
      </c>
      <c r="C669" t="s">
        <v>16</v>
      </c>
      <c r="D669" t="s">
        <v>40</v>
      </c>
      <c r="E669" t="s">
        <v>33</v>
      </c>
      <c r="F669" t="s">
        <v>36</v>
      </c>
      <c r="G669" t="s">
        <v>20</v>
      </c>
      <c r="H669">
        <v>58799</v>
      </c>
      <c r="I669">
        <v>9</v>
      </c>
      <c r="J669">
        <v>0</v>
      </c>
      <c r="K669" t="s">
        <v>21</v>
      </c>
      <c r="L669" t="s">
        <v>45</v>
      </c>
      <c r="M669">
        <v>33</v>
      </c>
      <c r="N669" t="s">
        <v>29</v>
      </c>
      <c r="O669">
        <v>5</v>
      </c>
    </row>
    <row r="670" spans="1:15" x14ac:dyDescent="0.3">
      <c r="A670" t="s">
        <v>708</v>
      </c>
      <c r="B670">
        <v>34</v>
      </c>
      <c r="C670" t="s">
        <v>24</v>
      </c>
      <c r="D670" t="s">
        <v>40</v>
      </c>
      <c r="E670" t="s">
        <v>18</v>
      </c>
      <c r="F670" t="s">
        <v>38</v>
      </c>
      <c r="G670" t="s">
        <v>28</v>
      </c>
      <c r="H670">
        <v>57011</v>
      </c>
      <c r="I670">
        <v>11</v>
      </c>
      <c r="J670">
        <v>3</v>
      </c>
      <c r="K670" t="s">
        <v>21</v>
      </c>
      <c r="L670" t="s">
        <v>30</v>
      </c>
      <c r="M670">
        <v>91</v>
      </c>
      <c r="N670" t="s">
        <v>29</v>
      </c>
      <c r="O670">
        <v>5</v>
      </c>
    </row>
    <row r="671" spans="1:15" x14ac:dyDescent="0.3">
      <c r="A671" t="s">
        <v>709</v>
      </c>
      <c r="B671">
        <v>22</v>
      </c>
      <c r="C671" t="s">
        <v>16</v>
      </c>
      <c r="D671" t="s">
        <v>17</v>
      </c>
      <c r="E671" t="s">
        <v>18</v>
      </c>
      <c r="F671" t="s">
        <v>36</v>
      </c>
      <c r="G671" t="s">
        <v>20</v>
      </c>
      <c r="H671">
        <v>99183</v>
      </c>
      <c r="I671">
        <v>16</v>
      </c>
      <c r="J671">
        <v>3</v>
      </c>
      <c r="K671" t="s">
        <v>29</v>
      </c>
      <c r="L671" t="s">
        <v>47</v>
      </c>
      <c r="M671">
        <v>22</v>
      </c>
      <c r="N671" t="s">
        <v>29</v>
      </c>
      <c r="O671">
        <v>4</v>
      </c>
    </row>
    <row r="672" spans="1:15" x14ac:dyDescent="0.3">
      <c r="A672" t="s">
        <v>710</v>
      </c>
      <c r="B672">
        <v>31</v>
      </c>
      <c r="C672" t="s">
        <v>16</v>
      </c>
      <c r="D672" t="s">
        <v>25</v>
      </c>
      <c r="E672" t="s">
        <v>50</v>
      </c>
      <c r="F672" t="s">
        <v>36</v>
      </c>
      <c r="G672" t="s">
        <v>20</v>
      </c>
      <c r="H672">
        <v>113254</v>
      </c>
      <c r="I672">
        <v>3</v>
      </c>
      <c r="J672">
        <v>9</v>
      </c>
      <c r="K672" t="s">
        <v>21</v>
      </c>
      <c r="L672" t="s">
        <v>30</v>
      </c>
      <c r="M672">
        <v>39</v>
      </c>
      <c r="N672" t="s">
        <v>21</v>
      </c>
      <c r="O672">
        <v>4</v>
      </c>
    </row>
    <row r="673" spans="1:15" x14ac:dyDescent="0.3">
      <c r="A673" t="s">
        <v>711</v>
      </c>
      <c r="B673">
        <v>59</v>
      </c>
      <c r="C673" t="s">
        <v>16</v>
      </c>
      <c r="D673" t="s">
        <v>35</v>
      </c>
      <c r="E673" t="s">
        <v>41</v>
      </c>
      <c r="F673" t="s">
        <v>36</v>
      </c>
      <c r="G673" t="s">
        <v>20</v>
      </c>
      <c r="H673">
        <v>64264</v>
      </c>
      <c r="I673">
        <v>1</v>
      </c>
      <c r="J673">
        <v>6</v>
      </c>
      <c r="K673" t="s">
        <v>21</v>
      </c>
      <c r="L673" t="s">
        <v>30</v>
      </c>
      <c r="M673">
        <v>81</v>
      </c>
      <c r="N673" t="s">
        <v>21</v>
      </c>
      <c r="O673">
        <v>5</v>
      </c>
    </row>
    <row r="674" spans="1:15" x14ac:dyDescent="0.3">
      <c r="A674" t="s">
        <v>712</v>
      </c>
      <c r="B674">
        <v>58</v>
      </c>
      <c r="C674" t="s">
        <v>16</v>
      </c>
      <c r="D674" t="s">
        <v>17</v>
      </c>
      <c r="E674" t="s">
        <v>50</v>
      </c>
      <c r="F674" t="s">
        <v>38</v>
      </c>
      <c r="G674" t="s">
        <v>28</v>
      </c>
      <c r="H674">
        <v>62317</v>
      </c>
      <c r="I674">
        <v>10</v>
      </c>
      <c r="J674">
        <v>8</v>
      </c>
      <c r="K674" t="s">
        <v>21</v>
      </c>
      <c r="L674" t="s">
        <v>30</v>
      </c>
      <c r="M674">
        <v>80</v>
      </c>
      <c r="N674" t="s">
        <v>21</v>
      </c>
      <c r="O674">
        <v>1</v>
      </c>
    </row>
    <row r="675" spans="1:15" x14ac:dyDescent="0.3">
      <c r="A675" t="s">
        <v>713</v>
      </c>
      <c r="B675">
        <v>54</v>
      </c>
      <c r="C675" t="s">
        <v>24</v>
      </c>
      <c r="D675" t="s">
        <v>40</v>
      </c>
      <c r="E675" t="s">
        <v>50</v>
      </c>
      <c r="F675" t="s">
        <v>27</v>
      </c>
      <c r="G675" t="s">
        <v>28</v>
      </c>
      <c r="H675">
        <v>67914</v>
      </c>
      <c r="I675">
        <v>6</v>
      </c>
      <c r="J675">
        <v>1</v>
      </c>
      <c r="K675" t="s">
        <v>21</v>
      </c>
      <c r="L675" t="s">
        <v>47</v>
      </c>
      <c r="M675">
        <v>51</v>
      </c>
      <c r="N675" t="s">
        <v>29</v>
      </c>
      <c r="O675">
        <v>5</v>
      </c>
    </row>
    <row r="676" spans="1:15" x14ac:dyDescent="0.3">
      <c r="A676" t="s">
        <v>714</v>
      </c>
      <c r="B676">
        <v>58</v>
      </c>
      <c r="C676" t="s">
        <v>16</v>
      </c>
      <c r="D676" t="s">
        <v>32</v>
      </c>
      <c r="E676" t="s">
        <v>50</v>
      </c>
      <c r="F676" t="s">
        <v>38</v>
      </c>
      <c r="G676" t="s">
        <v>28</v>
      </c>
      <c r="H676">
        <v>104633</v>
      </c>
      <c r="I676">
        <v>1</v>
      </c>
      <c r="J676">
        <v>0</v>
      </c>
      <c r="K676" t="s">
        <v>21</v>
      </c>
      <c r="L676" t="s">
        <v>45</v>
      </c>
      <c r="M676">
        <v>9</v>
      </c>
      <c r="N676" t="s">
        <v>21</v>
      </c>
      <c r="O676">
        <v>2</v>
      </c>
    </row>
    <row r="677" spans="1:15" x14ac:dyDescent="0.3">
      <c r="A677" t="s">
        <v>715</v>
      </c>
      <c r="B677">
        <v>54</v>
      </c>
      <c r="C677" t="s">
        <v>24</v>
      </c>
      <c r="D677" t="s">
        <v>40</v>
      </c>
      <c r="E677" t="s">
        <v>18</v>
      </c>
      <c r="F677" t="s">
        <v>36</v>
      </c>
      <c r="G677" t="s">
        <v>20</v>
      </c>
      <c r="H677">
        <v>65254</v>
      </c>
      <c r="I677">
        <v>17</v>
      </c>
      <c r="J677">
        <v>1</v>
      </c>
      <c r="K677" t="s">
        <v>29</v>
      </c>
      <c r="L677" t="s">
        <v>47</v>
      </c>
      <c r="M677">
        <v>79</v>
      </c>
      <c r="N677" t="s">
        <v>21</v>
      </c>
      <c r="O677">
        <v>5</v>
      </c>
    </row>
    <row r="678" spans="1:15" x14ac:dyDescent="0.3">
      <c r="A678" t="s">
        <v>716</v>
      </c>
      <c r="B678">
        <v>38</v>
      </c>
      <c r="C678" t="s">
        <v>16</v>
      </c>
      <c r="D678" t="s">
        <v>40</v>
      </c>
      <c r="E678" t="s">
        <v>18</v>
      </c>
      <c r="F678" t="s">
        <v>38</v>
      </c>
      <c r="G678" t="s">
        <v>28</v>
      </c>
      <c r="H678">
        <v>60096</v>
      </c>
      <c r="I678">
        <v>3</v>
      </c>
      <c r="J678">
        <v>6</v>
      </c>
      <c r="K678" t="s">
        <v>21</v>
      </c>
      <c r="L678" t="s">
        <v>45</v>
      </c>
      <c r="M678">
        <v>63</v>
      </c>
      <c r="N678" t="s">
        <v>21</v>
      </c>
      <c r="O678">
        <v>4</v>
      </c>
    </row>
    <row r="679" spans="1:15" x14ac:dyDescent="0.3">
      <c r="A679" t="s">
        <v>717</v>
      </c>
      <c r="B679">
        <v>50</v>
      </c>
      <c r="C679" t="s">
        <v>16</v>
      </c>
      <c r="D679" t="s">
        <v>25</v>
      </c>
      <c r="E679" t="s">
        <v>50</v>
      </c>
      <c r="F679" t="s">
        <v>19</v>
      </c>
      <c r="G679" t="s">
        <v>28</v>
      </c>
      <c r="H679">
        <v>73785</v>
      </c>
      <c r="I679">
        <v>7</v>
      </c>
      <c r="J679">
        <v>9</v>
      </c>
      <c r="K679" t="s">
        <v>29</v>
      </c>
      <c r="L679" t="s">
        <v>47</v>
      </c>
      <c r="M679">
        <v>79</v>
      </c>
      <c r="N679" t="s">
        <v>29</v>
      </c>
      <c r="O679">
        <v>4</v>
      </c>
    </row>
    <row r="680" spans="1:15" x14ac:dyDescent="0.3">
      <c r="A680" t="s">
        <v>718</v>
      </c>
      <c r="B680">
        <v>35</v>
      </c>
      <c r="C680" t="s">
        <v>24</v>
      </c>
      <c r="D680" t="s">
        <v>25</v>
      </c>
      <c r="E680" t="s">
        <v>18</v>
      </c>
      <c r="F680" t="s">
        <v>27</v>
      </c>
      <c r="G680" t="s">
        <v>20</v>
      </c>
      <c r="H680">
        <v>72344</v>
      </c>
      <c r="I680">
        <v>19</v>
      </c>
      <c r="J680">
        <v>5</v>
      </c>
      <c r="K680" t="s">
        <v>29</v>
      </c>
      <c r="L680" t="s">
        <v>47</v>
      </c>
      <c r="M680">
        <v>63</v>
      </c>
      <c r="N680" t="s">
        <v>21</v>
      </c>
      <c r="O680">
        <v>2</v>
      </c>
    </row>
    <row r="681" spans="1:15" x14ac:dyDescent="0.3">
      <c r="A681" t="s">
        <v>719</v>
      </c>
      <c r="B681">
        <v>47</v>
      </c>
      <c r="C681" t="s">
        <v>24</v>
      </c>
      <c r="D681" t="s">
        <v>17</v>
      </c>
      <c r="E681" t="s">
        <v>41</v>
      </c>
      <c r="F681" t="s">
        <v>38</v>
      </c>
      <c r="G681" t="s">
        <v>20</v>
      </c>
      <c r="H681">
        <v>102643</v>
      </c>
      <c r="I681">
        <v>13</v>
      </c>
      <c r="J681">
        <v>3</v>
      </c>
      <c r="K681" t="s">
        <v>29</v>
      </c>
      <c r="L681" t="s">
        <v>47</v>
      </c>
      <c r="M681">
        <v>51</v>
      </c>
      <c r="N681" t="s">
        <v>21</v>
      </c>
      <c r="O681">
        <v>2</v>
      </c>
    </row>
    <row r="682" spans="1:15" x14ac:dyDescent="0.3">
      <c r="A682" t="s">
        <v>720</v>
      </c>
      <c r="B682">
        <v>54</v>
      </c>
      <c r="C682" t="s">
        <v>24</v>
      </c>
      <c r="D682" t="s">
        <v>35</v>
      </c>
      <c r="E682" t="s">
        <v>50</v>
      </c>
      <c r="F682" t="s">
        <v>19</v>
      </c>
      <c r="G682" t="s">
        <v>28</v>
      </c>
      <c r="H682">
        <v>88546</v>
      </c>
      <c r="I682">
        <v>11</v>
      </c>
      <c r="J682">
        <v>0</v>
      </c>
      <c r="K682" t="s">
        <v>21</v>
      </c>
      <c r="L682" t="s">
        <v>45</v>
      </c>
      <c r="M682">
        <v>99</v>
      </c>
      <c r="N682" t="s">
        <v>29</v>
      </c>
      <c r="O682">
        <v>3</v>
      </c>
    </row>
    <row r="683" spans="1:15" x14ac:dyDescent="0.3">
      <c r="A683" t="s">
        <v>721</v>
      </c>
      <c r="B683">
        <v>58</v>
      </c>
      <c r="C683" t="s">
        <v>16</v>
      </c>
      <c r="D683" t="s">
        <v>17</v>
      </c>
      <c r="E683" t="s">
        <v>18</v>
      </c>
      <c r="F683" t="s">
        <v>27</v>
      </c>
      <c r="G683" t="s">
        <v>28</v>
      </c>
      <c r="H683">
        <v>91091</v>
      </c>
      <c r="I683">
        <v>17</v>
      </c>
      <c r="J683">
        <v>0</v>
      </c>
      <c r="K683" t="s">
        <v>29</v>
      </c>
      <c r="L683" t="s">
        <v>47</v>
      </c>
      <c r="M683">
        <v>99</v>
      </c>
      <c r="N683" t="s">
        <v>29</v>
      </c>
      <c r="O683">
        <v>1</v>
      </c>
    </row>
    <row r="684" spans="1:15" x14ac:dyDescent="0.3">
      <c r="A684" t="s">
        <v>722</v>
      </c>
      <c r="B684">
        <v>53</v>
      </c>
      <c r="C684" t="s">
        <v>16</v>
      </c>
      <c r="D684" t="s">
        <v>44</v>
      </c>
      <c r="E684" t="s">
        <v>33</v>
      </c>
      <c r="F684" t="s">
        <v>19</v>
      </c>
      <c r="G684" t="s">
        <v>28</v>
      </c>
      <c r="H684">
        <v>85603</v>
      </c>
      <c r="I684">
        <v>10</v>
      </c>
      <c r="J684">
        <v>4</v>
      </c>
      <c r="K684" t="s">
        <v>29</v>
      </c>
      <c r="L684" t="s">
        <v>30</v>
      </c>
      <c r="M684">
        <v>17</v>
      </c>
      <c r="N684" t="s">
        <v>29</v>
      </c>
      <c r="O684">
        <v>1</v>
      </c>
    </row>
    <row r="685" spans="1:15" x14ac:dyDescent="0.3">
      <c r="A685" t="s">
        <v>723</v>
      </c>
      <c r="B685">
        <v>44</v>
      </c>
      <c r="C685" t="s">
        <v>24</v>
      </c>
      <c r="D685" t="s">
        <v>40</v>
      </c>
      <c r="E685" t="s">
        <v>50</v>
      </c>
      <c r="F685" t="s">
        <v>27</v>
      </c>
      <c r="G685" t="s">
        <v>28</v>
      </c>
      <c r="H685">
        <v>48412</v>
      </c>
      <c r="I685">
        <v>7</v>
      </c>
      <c r="J685">
        <v>0</v>
      </c>
      <c r="K685" t="s">
        <v>29</v>
      </c>
      <c r="L685" t="s">
        <v>47</v>
      </c>
      <c r="M685">
        <v>82</v>
      </c>
      <c r="N685" t="s">
        <v>29</v>
      </c>
      <c r="O685">
        <v>1</v>
      </c>
    </row>
    <row r="686" spans="1:15" x14ac:dyDescent="0.3">
      <c r="A686" t="s">
        <v>724</v>
      </c>
      <c r="B686">
        <v>35</v>
      </c>
      <c r="C686" t="s">
        <v>24</v>
      </c>
      <c r="D686" t="s">
        <v>32</v>
      </c>
      <c r="E686" t="s">
        <v>50</v>
      </c>
      <c r="F686" t="s">
        <v>38</v>
      </c>
      <c r="G686" t="s">
        <v>20</v>
      </c>
      <c r="H686">
        <v>71658</v>
      </c>
      <c r="I686">
        <v>1</v>
      </c>
      <c r="J686">
        <v>6</v>
      </c>
      <c r="K686" t="s">
        <v>29</v>
      </c>
      <c r="L686" t="s">
        <v>30</v>
      </c>
      <c r="M686">
        <v>93</v>
      </c>
      <c r="N686" t="s">
        <v>29</v>
      </c>
      <c r="O686">
        <v>4</v>
      </c>
    </row>
    <row r="687" spans="1:15" x14ac:dyDescent="0.3">
      <c r="A687" t="s">
        <v>725</v>
      </c>
      <c r="B687">
        <v>50</v>
      </c>
      <c r="C687" t="s">
        <v>24</v>
      </c>
      <c r="D687" t="s">
        <v>40</v>
      </c>
      <c r="E687" t="s">
        <v>41</v>
      </c>
      <c r="F687" t="s">
        <v>19</v>
      </c>
      <c r="G687" t="s">
        <v>20</v>
      </c>
      <c r="H687">
        <v>119841</v>
      </c>
      <c r="I687">
        <v>14</v>
      </c>
      <c r="J687">
        <v>0</v>
      </c>
      <c r="K687" t="s">
        <v>21</v>
      </c>
      <c r="L687" t="s">
        <v>22</v>
      </c>
      <c r="M687">
        <v>37</v>
      </c>
      <c r="N687" t="s">
        <v>29</v>
      </c>
      <c r="O687">
        <v>1</v>
      </c>
    </row>
    <row r="688" spans="1:15" x14ac:dyDescent="0.3">
      <c r="A688" t="s">
        <v>726</v>
      </c>
      <c r="B688">
        <v>37</v>
      </c>
      <c r="C688" t="s">
        <v>24</v>
      </c>
      <c r="D688" t="s">
        <v>40</v>
      </c>
      <c r="E688" t="s">
        <v>26</v>
      </c>
      <c r="F688" t="s">
        <v>36</v>
      </c>
      <c r="G688" t="s">
        <v>20</v>
      </c>
      <c r="H688">
        <v>69549</v>
      </c>
      <c r="I688">
        <v>8</v>
      </c>
      <c r="J688">
        <v>0</v>
      </c>
      <c r="K688" t="s">
        <v>29</v>
      </c>
      <c r="L688" t="s">
        <v>22</v>
      </c>
      <c r="M688">
        <v>66</v>
      </c>
      <c r="N688" t="s">
        <v>21</v>
      </c>
      <c r="O688">
        <v>3</v>
      </c>
    </row>
    <row r="689" spans="1:15" x14ac:dyDescent="0.3">
      <c r="A689" t="s">
        <v>727</v>
      </c>
      <c r="B689">
        <v>25</v>
      </c>
      <c r="C689" t="s">
        <v>16</v>
      </c>
      <c r="D689" t="s">
        <v>17</v>
      </c>
      <c r="E689" t="s">
        <v>26</v>
      </c>
      <c r="F689" t="s">
        <v>19</v>
      </c>
      <c r="G689" t="s">
        <v>28</v>
      </c>
      <c r="H689">
        <v>31549</v>
      </c>
      <c r="I689">
        <v>18</v>
      </c>
      <c r="J689">
        <v>1</v>
      </c>
      <c r="K689" t="s">
        <v>29</v>
      </c>
      <c r="L689" t="s">
        <v>45</v>
      </c>
      <c r="M689">
        <v>83</v>
      </c>
      <c r="N689" t="s">
        <v>21</v>
      </c>
      <c r="O689">
        <v>3</v>
      </c>
    </row>
    <row r="690" spans="1:15" x14ac:dyDescent="0.3">
      <c r="A690" t="s">
        <v>728</v>
      </c>
      <c r="B690">
        <v>49</v>
      </c>
      <c r="C690" t="s">
        <v>24</v>
      </c>
      <c r="D690" t="s">
        <v>32</v>
      </c>
      <c r="E690" t="s">
        <v>41</v>
      </c>
      <c r="F690" t="s">
        <v>27</v>
      </c>
      <c r="G690" t="s">
        <v>28</v>
      </c>
      <c r="H690">
        <v>91216</v>
      </c>
      <c r="I690">
        <v>19</v>
      </c>
      <c r="J690">
        <v>9</v>
      </c>
      <c r="K690" t="s">
        <v>29</v>
      </c>
      <c r="L690" t="s">
        <v>45</v>
      </c>
      <c r="M690">
        <v>20</v>
      </c>
      <c r="N690" t="s">
        <v>29</v>
      </c>
      <c r="O690">
        <v>1</v>
      </c>
    </row>
    <row r="691" spans="1:15" x14ac:dyDescent="0.3">
      <c r="A691" t="s">
        <v>729</v>
      </c>
      <c r="B691">
        <v>24</v>
      </c>
      <c r="C691" t="s">
        <v>24</v>
      </c>
      <c r="D691" t="s">
        <v>32</v>
      </c>
      <c r="E691" t="s">
        <v>41</v>
      </c>
      <c r="F691" t="s">
        <v>38</v>
      </c>
      <c r="G691" t="s">
        <v>20</v>
      </c>
      <c r="H691">
        <v>45739</v>
      </c>
      <c r="I691">
        <v>7</v>
      </c>
      <c r="J691">
        <v>2</v>
      </c>
      <c r="K691" t="s">
        <v>29</v>
      </c>
      <c r="L691" t="s">
        <v>22</v>
      </c>
      <c r="M691">
        <v>48</v>
      </c>
      <c r="N691" t="s">
        <v>29</v>
      </c>
      <c r="O691">
        <v>2</v>
      </c>
    </row>
    <row r="692" spans="1:15" x14ac:dyDescent="0.3">
      <c r="A692" t="s">
        <v>730</v>
      </c>
      <c r="B692">
        <v>30</v>
      </c>
      <c r="C692" t="s">
        <v>24</v>
      </c>
      <c r="D692" t="s">
        <v>32</v>
      </c>
      <c r="E692" t="s">
        <v>41</v>
      </c>
      <c r="F692" t="s">
        <v>27</v>
      </c>
      <c r="G692" t="s">
        <v>20</v>
      </c>
      <c r="H692">
        <v>41209</v>
      </c>
      <c r="I692">
        <v>18</v>
      </c>
      <c r="J692">
        <v>0</v>
      </c>
      <c r="K692" t="s">
        <v>21</v>
      </c>
      <c r="L692" t="s">
        <v>47</v>
      </c>
      <c r="M692">
        <v>62</v>
      </c>
      <c r="N692" t="s">
        <v>21</v>
      </c>
      <c r="O692">
        <v>3</v>
      </c>
    </row>
    <row r="693" spans="1:15" x14ac:dyDescent="0.3">
      <c r="A693" t="s">
        <v>731</v>
      </c>
      <c r="B693">
        <v>37</v>
      </c>
      <c r="C693" t="s">
        <v>24</v>
      </c>
      <c r="D693" t="s">
        <v>17</v>
      </c>
      <c r="E693" t="s">
        <v>26</v>
      </c>
      <c r="F693" t="s">
        <v>19</v>
      </c>
      <c r="G693" t="s">
        <v>28</v>
      </c>
      <c r="H693">
        <v>107968</v>
      </c>
      <c r="I693">
        <v>4</v>
      </c>
      <c r="J693">
        <v>8</v>
      </c>
      <c r="K693" t="s">
        <v>29</v>
      </c>
      <c r="L693" t="s">
        <v>47</v>
      </c>
      <c r="M693">
        <v>10</v>
      </c>
      <c r="N693" t="s">
        <v>29</v>
      </c>
      <c r="O693">
        <v>2</v>
      </c>
    </row>
    <row r="694" spans="1:15" x14ac:dyDescent="0.3">
      <c r="A694" t="s">
        <v>732</v>
      </c>
      <c r="B694">
        <v>30</v>
      </c>
      <c r="C694" t="s">
        <v>16</v>
      </c>
      <c r="D694" t="s">
        <v>40</v>
      </c>
      <c r="E694" t="s">
        <v>41</v>
      </c>
      <c r="F694" t="s">
        <v>19</v>
      </c>
      <c r="G694" t="s">
        <v>28</v>
      </c>
      <c r="H694">
        <v>35116</v>
      </c>
      <c r="I694">
        <v>10</v>
      </c>
      <c r="J694">
        <v>9</v>
      </c>
      <c r="K694" t="s">
        <v>29</v>
      </c>
      <c r="L694" t="s">
        <v>47</v>
      </c>
      <c r="M694">
        <v>93</v>
      </c>
      <c r="N694" t="s">
        <v>29</v>
      </c>
      <c r="O694">
        <v>4</v>
      </c>
    </row>
    <row r="695" spans="1:15" x14ac:dyDescent="0.3">
      <c r="A695" t="s">
        <v>733</v>
      </c>
      <c r="B695">
        <v>37</v>
      </c>
      <c r="C695" t="s">
        <v>24</v>
      </c>
      <c r="D695" t="s">
        <v>17</v>
      </c>
      <c r="E695" t="s">
        <v>18</v>
      </c>
      <c r="F695" t="s">
        <v>36</v>
      </c>
      <c r="G695" t="s">
        <v>20</v>
      </c>
      <c r="H695">
        <v>40045</v>
      </c>
      <c r="I695">
        <v>14</v>
      </c>
      <c r="J695">
        <v>7</v>
      </c>
      <c r="K695" t="s">
        <v>29</v>
      </c>
      <c r="L695" t="s">
        <v>22</v>
      </c>
      <c r="M695">
        <v>19</v>
      </c>
      <c r="N695" t="s">
        <v>21</v>
      </c>
      <c r="O695">
        <v>3</v>
      </c>
    </row>
    <row r="696" spans="1:15" x14ac:dyDescent="0.3">
      <c r="A696" t="s">
        <v>734</v>
      </c>
      <c r="B696">
        <v>40</v>
      </c>
      <c r="C696" t="s">
        <v>16</v>
      </c>
      <c r="D696" t="s">
        <v>25</v>
      </c>
      <c r="E696" t="s">
        <v>50</v>
      </c>
      <c r="F696" t="s">
        <v>38</v>
      </c>
      <c r="G696" t="s">
        <v>20</v>
      </c>
      <c r="H696">
        <v>46327</v>
      </c>
      <c r="I696">
        <v>7</v>
      </c>
      <c r="J696">
        <v>4</v>
      </c>
      <c r="K696" t="s">
        <v>29</v>
      </c>
      <c r="L696" t="s">
        <v>30</v>
      </c>
      <c r="M696">
        <v>8</v>
      </c>
      <c r="N696" t="s">
        <v>29</v>
      </c>
      <c r="O696">
        <v>2</v>
      </c>
    </row>
    <row r="697" spans="1:15" x14ac:dyDescent="0.3">
      <c r="A697" t="s">
        <v>735</v>
      </c>
      <c r="B697">
        <v>44</v>
      </c>
      <c r="C697" t="s">
        <v>24</v>
      </c>
      <c r="D697" t="s">
        <v>25</v>
      </c>
      <c r="E697" t="s">
        <v>50</v>
      </c>
      <c r="F697" t="s">
        <v>38</v>
      </c>
      <c r="G697" t="s">
        <v>20</v>
      </c>
      <c r="H697">
        <v>55709</v>
      </c>
      <c r="I697">
        <v>18</v>
      </c>
      <c r="J697">
        <v>1</v>
      </c>
      <c r="K697" t="s">
        <v>29</v>
      </c>
      <c r="L697" t="s">
        <v>45</v>
      </c>
      <c r="M697">
        <v>60</v>
      </c>
      <c r="N697" t="s">
        <v>29</v>
      </c>
      <c r="O697">
        <v>1</v>
      </c>
    </row>
    <row r="698" spans="1:15" x14ac:dyDescent="0.3">
      <c r="A698" t="s">
        <v>736</v>
      </c>
      <c r="B698">
        <v>25</v>
      </c>
      <c r="C698" t="s">
        <v>24</v>
      </c>
      <c r="D698" t="s">
        <v>17</v>
      </c>
      <c r="E698" t="s">
        <v>33</v>
      </c>
      <c r="F698" t="s">
        <v>19</v>
      </c>
      <c r="G698" t="s">
        <v>28</v>
      </c>
      <c r="H698">
        <v>63617</v>
      </c>
      <c r="I698">
        <v>7</v>
      </c>
      <c r="J698">
        <v>4</v>
      </c>
      <c r="K698" t="s">
        <v>29</v>
      </c>
      <c r="L698" t="s">
        <v>30</v>
      </c>
      <c r="M698">
        <v>68</v>
      </c>
      <c r="N698" t="s">
        <v>21</v>
      </c>
      <c r="O698">
        <v>4</v>
      </c>
    </row>
    <row r="699" spans="1:15" x14ac:dyDescent="0.3">
      <c r="A699" t="s">
        <v>737</v>
      </c>
      <c r="B699">
        <v>54</v>
      </c>
      <c r="C699" t="s">
        <v>16</v>
      </c>
      <c r="D699" t="s">
        <v>32</v>
      </c>
      <c r="E699" t="s">
        <v>33</v>
      </c>
      <c r="F699" t="s">
        <v>38</v>
      </c>
      <c r="G699" t="s">
        <v>28</v>
      </c>
      <c r="H699">
        <v>80139</v>
      </c>
      <c r="I699">
        <v>18</v>
      </c>
      <c r="J699">
        <v>5</v>
      </c>
      <c r="K699" t="s">
        <v>21</v>
      </c>
      <c r="L699" t="s">
        <v>22</v>
      </c>
      <c r="M699">
        <v>72</v>
      </c>
      <c r="N699" t="s">
        <v>21</v>
      </c>
      <c r="O699">
        <v>5</v>
      </c>
    </row>
    <row r="700" spans="1:15" x14ac:dyDescent="0.3">
      <c r="A700" t="s">
        <v>738</v>
      </c>
      <c r="B700">
        <v>26</v>
      </c>
      <c r="C700" t="s">
        <v>24</v>
      </c>
      <c r="D700" t="s">
        <v>40</v>
      </c>
      <c r="E700" t="s">
        <v>50</v>
      </c>
      <c r="F700" t="s">
        <v>36</v>
      </c>
      <c r="G700" t="s">
        <v>28</v>
      </c>
      <c r="H700">
        <v>46905</v>
      </c>
      <c r="I700">
        <v>17</v>
      </c>
      <c r="J700">
        <v>0</v>
      </c>
      <c r="K700" t="s">
        <v>29</v>
      </c>
      <c r="L700" t="s">
        <v>30</v>
      </c>
      <c r="M700">
        <v>98</v>
      </c>
      <c r="N700" t="s">
        <v>21</v>
      </c>
      <c r="O700">
        <v>5</v>
      </c>
    </row>
    <row r="701" spans="1:15" x14ac:dyDescent="0.3">
      <c r="A701" t="s">
        <v>739</v>
      </c>
      <c r="B701">
        <v>22</v>
      </c>
      <c r="C701" t="s">
        <v>16</v>
      </c>
      <c r="D701" t="s">
        <v>17</v>
      </c>
      <c r="E701" t="s">
        <v>18</v>
      </c>
      <c r="F701" t="s">
        <v>27</v>
      </c>
      <c r="G701" t="s">
        <v>28</v>
      </c>
      <c r="H701">
        <v>84148</v>
      </c>
      <c r="I701">
        <v>9</v>
      </c>
      <c r="J701">
        <v>3</v>
      </c>
      <c r="K701" t="s">
        <v>21</v>
      </c>
      <c r="L701" t="s">
        <v>47</v>
      </c>
      <c r="M701">
        <v>38</v>
      </c>
      <c r="N701" t="s">
        <v>21</v>
      </c>
      <c r="O701">
        <v>1</v>
      </c>
    </row>
    <row r="702" spans="1:15" x14ac:dyDescent="0.3">
      <c r="A702" t="s">
        <v>740</v>
      </c>
      <c r="B702">
        <v>33</v>
      </c>
      <c r="C702" t="s">
        <v>16</v>
      </c>
      <c r="D702" t="s">
        <v>17</v>
      </c>
      <c r="E702" t="s">
        <v>26</v>
      </c>
      <c r="F702" t="s">
        <v>38</v>
      </c>
      <c r="G702" t="s">
        <v>28</v>
      </c>
      <c r="H702">
        <v>92603</v>
      </c>
      <c r="I702">
        <v>6</v>
      </c>
      <c r="J702">
        <v>8</v>
      </c>
      <c r="K702" t="s">
        <v>21</v>
      </c>
      <c r="L702" t="s">
        <v>47</v>
      </c>
      <c r="M702">
        <v>95</v>
      </c>
      <c r="N702" t="s">
        <v>21</v>
      </c>
      <c r="O702">
        <v>4</v>
      </c>
    </row>
    <row r="703" spans="1:15" x14ac:dyDescent="0.3">
      <c r="A703" t="s">
        <v>741</v>
      </c>
      <c r="B703">
        <v>31</v>
      </c>
      <c r="C703" t="s">
        <v>24</v>
      </c>
      <c r="D703" t="s">
        <v>17</v>
      </c>
      <c r="E703" t="s">
        <v>26</v>
      </c>
      <c r="F703" t="s">
        <v>19</v>
      </c>
      <c r="G703" t="s">
        <v>28</v>
      </c>
      <c r="H703">
        <v>118095</v>
      </c>
      <c r="I703">
        <v>8</v>
      </c>
      <c r="J703">
        <v>1</v>
      </c>
      <c r="K703" t="s">
        <v>29</v>
      </c>
      <c r="L703" t="s">
        <v>30</v>
      </c>
      <c r="M703">
        <v>99</v>
      </c>
      <c r="N703" t="s">
        <v>29</v>
      </c>
      <c r="O703">
        <v>4</v>
      </c>
    </row>
    <row r="704" spans="1:15" x14ac:dyDescent="0.3">
      <c r="A704" t="s">
        <v>742</v>
      </c>
      <c r="B704">
        <v>43</v>
      </c>
      <c r="C704" t="s">
        <v>16</v>
      </c>
      <c r="D704" t="s">
        <v>44</v>
      </c>
      <c r="E704" t="s">
        <v>18</v>
      </c>
      <c r="F704" t="s">
        <v>27</v>
      </c>
      <c r="G704" t="s">
        <v>20</v>
      </c>
      <c r="H704">
        <v>62919</v>
      </c>
      <c r="I704">
        <v>0</v>
      </c>
      <c r="J704">
        <v>4</v>
      </c>
      <c r="K704" t="s">
        <v>21</v>
      </c>
      <c r="L704" t="s">
        <v>22</v>
      </c>
      <c r="M704">
        <v>60</v>
      </c>
      <c r="N704" t="s">
        <v>29</v>
      </c>
      <c r="O704">
        <v>4</v>
      </c>
    </row>
    <row r="705" spans="1:15" x14ac:dyDescent="0.3">
      <c r="A705" t="s">
        <v>743</v>
      </c>
      <c r="B705">
        <v>36</v>
      </c>
      <c r="C705" t="s">
        <v>16</v>
      </c>
      <c r="D705" t="s">
        <v>25</v>
      </c>
      <c r="E705" t="s">
        <v>26</v>
      </c>
      <c r="F705" t="s">
        <v>27</v>
      </c>
      <c r="G705" t="s">
        <v>20</v>
      </c>
      <c r="H705">
        <v>103521</v>
      </c>
      <c r="I705">
        <v>18</v>
      </c>
      <c r="J705">
        <v>0</v>
      </c>
      <c r="K705" t="s">
        <v>29</v>
      </c>
      <c r="L705" t="s">
        <v>30</v>
      </c>
      <c r="M705">
        <v>36</v>
      </c>
      <c r="N705" t="s">
        <v>29</v>
      </c>
      <c r="O705">
        <v>4</v>
      </c>
    </row>
    <row r="706" spans="1:15" x14ac:dyDescent="0.3">
      <c r="A706" t="s">
        <v>744</v>
      </c>
      <c r="B706">
        <v>51</v>
      </c>
      <c r="C706" t="s">
        <v>16</v>
      </c>
      <c r="D706" t="s">
        <v>32</v>
      </c>
      <c r="E706" t="s">
        <v>41</v>
      </c>
      <c r="F706" t="s">
        <v>36</v>
      </c>
      <c r="G706" t="s">
        <v>28</v>
      </c>
      <c r="H706">
        <v>112905</v>
      </c>
      <c r="I706">
        <v>4</v>
      </c>
      <c r="J706">
        <v>3</v>
      </c>
      <c r="K706" t="s">
        <v>21</v>
      </c>
      <c r="L706" t="s">
        <v>47</v>
      </c>
      <c r="M706">
        <v>13</v>
      </c>
      <c r="N706" t="s">
        <v>29</v>
      </c>
      <c r="O706">
        <v>5</v>
      </c>
    </row>
    <row r="707" spans="1:15" x14ac:dyDescent="0.3">
      <c r="A707" t="s">
        <v>745</v>
      </c>
      <c r="B707">
        <v>31</v>
      </c>
      <c r="C707" t="s">
        <v>16</v>
      </c>
      <c r="D707" t="s">
        <v>35</v>
      </c>
      <c r="E707" t="s">
        <v>50</v>
      </c>
      <c r="F707" t="s">
        <v>19</v>
      </c>
      <c r="G707" t="s">
        <v>20</v>
      </c>
      <c r="H707">
        <v>103400</v>
      </c>
      <c r="I707">
        <v>18</v>
      </c>
      <c r="J707">
        <v>3</v>
      </c>
      <c r="K707" t="s">
        <v>29</v>
      </c>
      <c r="L707" t="s">
        <v>47</v>
      </c>
      <c r="M707">
        <v>67</v>
      </c>
      <c r="N707" t="s">
        <v>29</v>
      </c>
      <c r="O707">
        <v>2</v>
      </c>
    </row>
    <row r="708" spans="1:15" x14ac:dyDescent="0.3">
      <c r="A708" t="s">
        <v>746</v>
      </c>
      <c r="B708">
        <v>36</v>
      </c>
      <c r="C708" t="s">
        <v>16</v>
      </c>
      <c r="D708" t="s">
        <v>32</v>
      </c>
      <c r="E708" t="s">
        <v>50</v>
      </c>
      <c r="F708" t="s">
        <v>38</v>
      </c>
      <c r="G708" t="s">
        <v>28</v>
      </c>
      <c r="H708">
        <v>108150</v>
      </c>
      <c r="I708">
        <v>0</v>
      </c>
      <c r="J708">
        <v>5</v>
      </c>
      <c r="K708" t="s">
        <v>21</v>
      </c>
      <c r="L708" t="s">
        <v>22</v>
      </c>
      <c r="M708">
        <v>76</v>
      </c>
      <c r="N708" t="s">
        <v>21</v>
      </c>
      <c r="O708">
        <v>4</v>
      </c>
    </row>
    <row r="709" spans="1:15" x14ac:dyDescent="0.3">
      <c r="A709" t="s">
        <v>747</v>
      </c>
      <c r="B709">
        <v>28</v>
      </c>
      <c r="C709" t="s">
        <v>16</v>
      </c>
      <c r="D709" t="s">
        <v>35</v>
      </c>
      <c r="E709" t="s">
        <v>18</v>
      </c>
      <c r="F709" t="s">
        <v>19</v>
      </c>
      <c r="G709" t="s">
        <v>20</v>
      </c>
      <c r="H709">
        <v>78446</v>
      </c>
      <c r="I709">
        <v>14</v>
      </c>
      <c r="J709">
        <v>9</v>
      </c>
      <c r="K709" t="s">
        <v>21</v>
      </c>
      <c r="L709" t="s">
        <v>30</v>
      </c>
      <c r="M709">
        <v>82</v>
      </c>
      <c r="N709" t="s">
        <v>29</v>
      </c>
      <c r="O709">
        <v>2</v>
      </c>
    </row>
    <row r="710" spans="1:15" x14ac:dyDescent="0.3">
      <c r="A710" t="s">
        <v>748</v>
      </c>
      <c r="B710">
        <v>24</v>
      </c>
      <c r="C710" t="s">
        <v>16</v>
      </c>
      <c r="D710" t="s">
        <v>44</v>
      </c>
      <c r="E710" t="s">
        <v>26</v>
      </c>
      <c r="F710" t="s">
        <v>27</v>
      </c>
      <c r="G710" t="s">
        <v>28</v>
      </c>
      <c r="H710">
        <v>72428</v>
      </c>
      <c r="I710">
        <v>15</v>
      </c>
      <c r="J710">
        <v>8</v>
      </c>
      <c r="K710" t="s">
        <v>29</v>
      </c>
      <c r="L710" t="s">
        <v>47</v>
      </c>
      <c r="M710">
        <v>37</v>
      </c>
      <c r="N710" t="s">
        <v>29</v>
      </c>
      <c r="O710">
        <v>4</v>
      </c>
    </row>
    <row r="711" spans="1:15" x14ac:dyDescent="0.3">
      <c r="A711" t="s">
        <v>749</v>
      </c>
      <c r="B711">
        <v>24</v>
      </c>
      <c r="C711" t="s">
        <v>16</v>
      </c>
      <c r="D711" t="s">
        <v>17</v>
      </c>
      <c r="E711" t="s">
        <v>33</v>
      </c>
      <c r="F711" t="s">
        <v>19</v>
      </c>
      <c r="G711" t="s">
        <v>20</v>
      </c>
      <c r="H711">
        <v>67894</v>
      </c>
      <c r="I711">
        <v>6</v>
      </c>
      <c r="J711">
        <v>2</v>
      </c>
      <c r="K711" t="s">
        <v>21</v>
      </c>
      <c r="L711" t="s">
        <v>47</v>
      </c>
      <c r="M711">
        <v>91</v>
      </c>
      <c r="N711" t="s">
        <v>29</v>
      </c>
      <c r="O711">
        <v>3</v>
      </c>
    </row>
    <row r="712" spans="1:15" x14ac:dyDescent="0.3">
      <c r="A712" t="s">
        <v>750</v>
      </c>
      <c r="B712">
        <v>45</v>
      </c>
      <c r="C712" t="s">
        <v>24</v>
      </c>
      <c r="D712" t="s">
        <v>44</v>
      </c>
      <c r="E712" t="s">
        <v>33</v>
      </c>
      <c r="F712" t="s">
        <v>38</v>
      </c>
      <c r="G712" t="s">
        <v>20</v>
      </c>
      <c r="H712">
        <v>101149</v>
      </c>
      <c r="I712">
        <v>11</v>
      </c>
      <c r="J712">
        <v>8</v>
      </c>
      <c r="K712" t="s">
        <v>21</v>
      </c>
      <c r="L712" t="s">
        <v>30</v>
      </c>
      <c r="M712">
        <v>25</v>
      </c>
      <c r="N712" t="s">
        <v>29</v>
      </c>
      <c r="O712">
        <v>3</v>
      </c>
    </row>
    <row r="713" spans="1:15" x14ac:dyDescent="0.3">
      <c r="A713" t="s">
        <v>751</v>
      </c>
      <c r="B713">
        <v>23</v>
      </c>
      <c r="C713" t="s">
        <v>24</v>
      </c>
      <c r="D713" t="s">
        <v>44</v>
      </c>
      <c r="E713" t="s">
        <v>26</v>
      </c>
      <c r="F713" t="s">
        <v>38</v>
      </c>
      <c r="G713" t="s">
        <v>28</v>
      </c>
      <c r="H713">
        <v>26447</v>
      </c>
      <c r="I713">
        <v>7</v>
      </c>
      <c r="J713">
        <v>5</v>
      </c>
      <c r="K713" t="s">
        <v>21</v>
      </c>
      <c r="L713" t="s">
        <v>30</v>
      </c>
      <c r="M713">
        <v>59</v>
      </c>
      <c r="N713" t="s">
        <v>29</v>
      </c>
      <c r="O713">
        <v>3</v>
      </c>
    </row>
    <row r="714" spans="1:15" x14ac:dyDescent="0.3">
      <c r="A714" t="s">
        <v>752</v>
      </c>
      <c r="B714">
        <v>52</v>
      </c>
      <c r="C714" t="s">
        <v>16</v>
      </c>
      <c r="D714" t="s">
        <v>40</v>
      </c>
      <c r="E714" t="s">
        <v>33</v>
      </c>
      <c r="F714" t="s">
        <v>36</v>
      </c>
      <c r="G714" t="s">
        <v>28</v>
      </c>
      <c r="H714">
        <v>25499</v>
      </c>
      <c r="I714">
        <v>4</v>
      </c>
      <c r="J714">
        <v>6</v>
      </c>
      <c r="K714" t="s">
        <v>21</v>
      </c>
      <c r="L714" t="s">
        <v>45</v>
      </c>
      <c r="M714">
        <v>80</v>
      </c>
      <c r="N714" t="s">
        <v>21</v>
      </c>
      <c r="O714">
        <v>4</v>
      </c>
    </row>
    <row r="715" spans="1:15" x14ac:dyDescent="0.3">
      <c r="A715" t="s">
        <v>753</v>
      </c>
      <c r="B715">
        <v>23</v>
      </c>
      <c r="C715" t="s">
        <v>24</v>
      </c>
      <c r="D715" t="s">
        <v>25</v>
      </c>
      <c r="E715" t="s">
        <v>18</v>
      </c>
      <c r="F715" t="s">
        <v>38</v>
      </c>
      <c r="G715" t="s">
        <v>20</v>
      </c>
      <c r="H715">
        <v>59041</v>
      </c>
      <c r="I715">
        <v>9</v>
      </c>
      <c r="J715">
        <v>9</v>
      </c>
      <c r="K715" t="s">
        <v>21</v>
      </c>
      <c r="L715" t="s">
        <v>22</v>
      </c>
      <c r="M715">
        <v>61</v>
      </c>
      <c r="N715" t="s">
        <v>29</v>
      </c>
      <c r="O715">
        <v>2</v>
      </c>
    </row>
    <row r="716" spans="1:15" x14ac:dyDescent="0.3">
      <c r="A716" t="s">
        <v>754</v>
      </c>
      <c r="B716">
        <v>47</v>
      </c>
      <c r="C716" t="s">
        <v>16</v>
      </c>
      <c r="D716" t="s">
        <v>35</v>
      </c>
      <c r="E716" t="s">
        <v>18</v>
      </c>
      <c r="F716" t="s">
        <v>38</v>
      </c>
      <c r="G716" t="s">
        <v>20</v>
      </c>
      <c r="H716">
        <v>51315</v>
      </c>
      <c r="I716">
        <v>4</v>
      </c>
      <c r="J716">
        <v>1</v>
      </c>
      <c r="K716" t="s">
        <v>29</v>
      </c>
      <c r="L716" t="s">
        <v>22</v>
      </c>
      <c r="M716">
        <v>6</v>
      </c>
      <c r="N716" t="s">
        <v>29</v>
      </c>
      <c r="O716">
        <v>5</v>
      </c>
    </row>
    <row r="717" spans="1:15" x14ac:dyDescent="0.3">
      <c r="A717" t="s">
        <v>755</v>
      </c>
      <c r="B717">
        <v>49</v>
      </c>
      <c r="C717" t="s">
        <v>16</v>
      </c>
      <c r="D717" t="s">
        <v>17</v>
      </c>
      <c r="E717" t="s">
        <v>26</v>
      </c>
      <c r="F717" t="s">
        <v>19</v>
      </c>
      <c r="G717" t="s">
        <v>28</v>
      </c>
      <c r="H717">
        <v>21299</v>
      </c>
      <c r="I717">
        <v>16</v>
      </c>
      <c r="J717">
        <v>9</v>
      </c>
      <c r="K717" t="s">
        <v>21</v>
      </c>
      <c r="L717" t="s">
        <v>30</v>
      </c>
      <c r="M717">
        <v>17</v>
      </c>
      <c r="N717" t="s">
        <v>29</v>
      </c>
      <c r="O717">
        <v>1</v>
      </c>
    </row>
    <row r="718" spans="1:15" x14ac:dyDescent="0.3">
      <c r="A718" t="s">
        <v>756</v>
      </c>
      <c r="B718">
        <v>52</v>
      </c>
      <c r="C718" t="s">
        <v>24</v>
      </c>
      <c r="D718" t="s">
        <v>35</v>
      </c>
      <c r="E718" t="s">
        <v>33</v>
      </c>
      <c r="F718" t="s">
        <v>19</v>
      </c>
      <c r="G718" t="s">
        <v>20</v>
      </c>
      <c r="H718">
        <v>24994</v>
      </c>
      <c r="I718">
        <v>4</v>
      </c>
      <c r="J718">
        <v>5</v>
      </c>
      <c r="K718" t="s">
        <v>21</v>
      </c>
      <c r="L718" t="s">
        <v>22</v>
      </c>
      <c r="M718">
        <v>8</v>
      </c>
      <c r="N718" t="s">
        <v>29</v>
      </c>
      <c r="O718">
        <v>5</v>
      </c>
    </row>
    <row r="719" spans="1:15" x14ac:dyDescent="0.3">
      <c r="A719" t="s">
        <v>757</v>
      </c>
      <c r="B719">
        <v>39</v>
      </c>
      <c r="C719" t="s">
        <v>16</v>
      </c>
      <c r="D719" t="s">
        <v>32</v>
      </c>
      <c r="E719" t="s">
        <v>18</v>
      </c>
      <c r="F719" t="s">
        <v>27</v>
      </c>
      <c r="G719" t="s">
        <v>28</v>
      </c>
      <c r="H719">
        <v>115414</v>
      </c>
      <c r="I719">
        <v>14</v>
      </c>
      <c r="J719">
        <v>5</v>
      </c>
      <c r="K719" t="s">
        <v>29</v>
      </c>
      <c r="L719" t="s">
        <v>47</v>
      </c>
      <c r="M719">
        <v>88</v>
      </c>
      <c r="N719" t="s">
        <v>29</v>
      </c>
      <c r="O719">
        <v>4</v>
      </c>
    </row>
    <row r="720" spans="1:15" x14ac:dyDescent="0.3">
      <c r="A720" t="s">
        <v>758</v>
      </c>
      <c r="B720">
        <v>41</v>
      </c>
      <c r="C720" t="s">
        <v>16</v>
      </c>
      <c r="D720" t="s">
        <v>35</v>
      </c>
      <c r="E720" t="s">
        <v>18</v>
      </c>
      <c r="F720" t="s">
        <v>36</v>
      </c>
      <c r="G720" t="s">
        <v>28</v>
      </c>
      <c r="H720">
        <v>101163</v>
      </c>
      <c r="I720">
        <v>12</v>
      </c>
      <c r="J720">
        <v>1</v>
      </c>
      <c r="K720" t="s">
        <v>29</v>
      </c>
      <c r="L720" t="s">
        <v>30</v>
      </c>
      <c r="M720">
        <v>54</v>
      </c>
      <c r="N720" t="s">
        <v>29</v>
      </c>
      <c r="O720">
        <v>3</v>
      </c>
    </row>
    <row r="721" spans="1:15" x14ac:dyDescent="0.3">
      <c r="A721" t="s">
        <v>759</v>
      </c>
      <c r="B721">
        <v>25</v>
      </c>
      <c r="C721" t="s">
        <v>16</v>
      </c>
      <c r="D721" t="s">
        <v>32</v>
      </c>
      <c r="E721" t="s">
        <v>41</v>
      </c>
      <c r="F721" t="s">
        <v>19</v>
      </c>
      <c r="G721" t="s">
        <v>20</v>
      </c>
      <c r="H721">
        <v>27489</v>
      </c>
      <c r="I721">
        <v>0</v>
      </c>
      <c r="J721">
        <v>1</v>
      </c>
      <c r="K721" t="s">
        <v>29</v>
      </c>
      <c r="L721" t="s">
        <v>30</v>
      </c>
      <c r="M721">
        <v>52</v>
      </c>
      <c r="N721" t="s">
        <v>21</v>
      </c>
      <c r="O721">
        <v>3</v>
      </c>
    </row>
    <row r="722" spans="1:15" x14ac:dyDescent="0.3">
      <c r="A722" t="s">
        <v>760</v>
      </c>
      <c r="B722">
        <v>38</v>
      </c>
      <c r="C722" t="s">
        <v>16</v>
      </c>
      <c r="D722" t="s">
        <v>25</v>
      </c>
      <c r="E722" t="s">
        <v>41</v>
      </c>
      <c r="F722" t="s">
        <v>38</v>
      </c>
      <c r="G722" t="s">
        <v>28</v>
      </c>
      <c r="H722">
        <v>111647</v>
      </c>
      <c r="I722">
        <v>10</v>
      </c>
      <c r="J722">
        <v>1</v>
      </c>
      <c r="K722" t="s">
        <v>21</v>
      </c>
      <c r="L722" t="s">
        <v>30</v>
      </c>
      <c r="M722">
        <v>82</v>
      </c>
      <c r="N722" t="s">
        <v>29</v>
      </c>
      <c r="O722">
        <v>2</v>
      </c>
    </row>
    <row r="723" spans="1:15" x14ac:dyDescent="0.3">
      <c r="A723" t="s">
        <v>761</v>
      </c>
      <c r="B723">
        <v>48</v>
      </c>
      <c r="C723" t="s">
        <v>24</v>
      </c>
      <c r="D723" t="s">
        <v>32</v>
      </c>
      <c r="E723" t="s">
        <v>18</v>
      </c>
      <c r="F723" t="s">
        <v>27</v>
      </c>
      <c r="G723" t="s">
        <v>20</v>
      </c>
      <c r="H723">
        <v>52355</v>
      </c>
      <c r="I723">
        <v>0</v>
      </c>
      <c r="J723">
        <v>9</v>
      </c>
      <c r="K723" t="s">
        <v>21</v>
      </c>
      <c r="L723" t="s">
        <v>45</v>
      </c>
      <c r="M723">
        <v>34</v>
      </c>
      <c r="N723" t="s">
        <v>21</v>
      </c>
      <c r="O723">
        <v>4</v>
      </c>
    </row>
    <row r="724" spans="1:15" x14ac:dyDescent="0.3">
      <c r="A724" t="s">
        <v>762</v>
      </c>
      <c r="B724">
        <v>42</v>
      </c>
      <c r="C724" t="s">
        <v>16</v>
      </c>
      <c r="D724" t="s">
        <v>35</v>
      </c>
      <c r="E724" t="s">
        <v>26</v>
      </c>
      <c r="F724" t="s">
        <v>19</v>
      </c>
      <c r="G724" t="s">
        <v>20</v>
      </c>
      <c r="H724">
        <v>93805</v>
      </c>
      <c r="I724">
        <v>10</v>
      </c>
      <c r="J724">
        <v>0</v>
      </c>
      <c r="K724" t="s">
        <v>21</v>
      </c>
      <c r="L724" t="s">
        <v>22</v>
      </c>
      <c r="M724">
        <v>33</v>
      </c>
      <c r="N724" t="s">
        <v>21</v>
      </c>
      <c r="O724">
        <v>5</v>
      </c>
    </row>
    <row r="725" spans="1:15" x14ac:dyDescent="0.3">
      <c r="A725" t="s">
        <v>763</v>
      </c>
      <c r="B725">
        <v>41</v>
      </c>
      <c r="C725" t="s">
        <v>16</v>
      </c>
      <c r="D725" t="s">
        <v>35</v>
      </c>
      <c r="E725" t="s">
        <v>50</v>
      </c>
      <c r="F725" t="s">
        <v>36</v>
      </c>
      <c r="G725" t="s">
        <v>28</v>
      </c>
      <c r="H725">
        <v>88367</v>
      </c>
      <c r="I725">
        <v>17</v>
      </c>
      <c r="J725">
        <v>4</v>
      </c>
      <c r="K725" t="s">
        <v>21</v>
      </c>
      <c r="L725" t="s">
        <v>45</v>
      </c>
      <c r="M725">
        <v>12</v>
      </c>
      <c r="N725" t="s">
        <v>29</v>
      </c>
      <c r="O725">
        <v>4</v>
      </c>
    </row>
    <row r="726" spans="1:15" x14ac:dyDescent="0.3">
      <c r="A726" t="s">
        <v>764</v>
      </c>
      <c r="B726">
        <v>26</v>
      </c>
      <c r="C726" t="s">
        <v>16</v>
      </c>
      <c r="D726" t="s">
        <v>32</v>
      </c>
      <c r="E726" t="s">
        <v>50</v>
      </c>
      <c r="F726" t="s">
        <v>36</v>
      </c>
      <c r="G726" t="s">
        <v>20</v>
      </c>
      <c r="H726">
        <v>97355</v>
      </c>
      <c r="I726">
        <v>17</v>
      </c>
      <c r="J726">
        <v>7</v>
      </c>
      <c r="K726" t="s">
        <v>29</v>
      </c>
      <c r="L726" t="s">
        <v>47</v>
      </c>
      <c r="M726">
        <v>16</v>
      </c>
      <c r="N726" t="s">
        <v>29</v>
      </c>
      <c r="O726">
        <v>4</v>
      </c>
    </row>
    <row r="727" spans="1:15" x14ac:dyDescent="0.3">
      <c r="A727" t="s">
        <v>765</v>
      </c>
      <c r="B727">
        <v>21</v>
      </c>
      <c r="C727" t="s">
        <v>24</v>
      </c>
      <c r="D727" t="s">
        <v>44</v>
      </c>
      <c r="E727" t="s">
        <v>18</v>
      </c>
      <c r="F727" t="s">
        <v>27</v>
      </c>
      <c r="G727" t="s">
        <v>28</v>
      </c>
      <c r="H727">
        <v>110349</v>
      </c>
      <c r="I727">
        <v>15</v>
      </c>
      <c r="J727">
        <v>1</v>
      </c>
      <c r="K727" t="s">
        <v>29</v>
      </c>
      <c r="L727" t="s">
        <v>22</v>
      </c>
      <c r="M727">
        <v>45</v>
      </c>
      <c r="N727" t="s">
        <v>29</v>
      </c>
      <c r="O727">
        <v>3</v>
      </c>
    </row>
    <row r="728" spans="1:15" x14ac:dyDescent="0.3">
      <c r="A728" t="s">
        <v>766</v>
      </c>
      <c r="B728">
        <v>25</v>
      </c>
      <c r="C728" t="s">
        <v>16</v>
      </c>
      <c r="D728" t="s">
        <v>25</v>
      </c>
      <c r="E728" t="s">
        <v>18</v>
      </c>
      <c r="F728" t="s">
        <v>27</v>
      </c>
      <c r="G728" t="s">
        <v>28</v>
      </c>
      <c r="H728">
        <v>107173</v>
      </c>
      <c r="I728">
        <v>12</v>
      </c>
      <c r="J728">
        <v>4</v>
      </c>
      <c r="K728" t="s">
        <v>21</v>
      </c>
      <c r="L728" t="s">
        <v>45</v>
      </c>
      <c r="M728">
        <v>30</v>
      </c>
      <c r="N728" t="s">
        <v>21</v>
      </c>
      <c r="O728">
        <v>5</v>
      </c>
    </row>
    <row r="729" spans="1:15" x14ac:dyDescent="0.3">
      <c r="A729" t="s">
        <v>767</v>
      </c>
      <c r="B729">
        <v>32</v>
      </c>
      <c r="C729" t="s">
        <v>24</v>
      </c>
      <c r="D729" t="s">
        <v>40</v>
      </c>
      <c r="E729" t="s">
        <v>18</v>
      </c>
      <c r="F729" t="s">
        <v>27</v>
      </c>
      <c r="G729" t="s">
        <v>28</v>
      </c>
      <c r="H729">
        <v>21996</v>
      </c>
      <c r="I729">
        <v>6</v>
      </c>
      <c r="J729">
        <v>7</v>
      </c>
      <c r="K729" t="s">
        <v>21</v>
      </c>
      <c r="L729" t="s">
        <v>30</v>
      </c>
      <c r="M729">
        <v>54</v>
      </c>
      <c r="N729" t="s">
        <v>29</v>
      </c>
      <c r="O729">
        <v>1</v>
      </c>
    </row>
    <row r="730" spans="1:15" x14ac:dyDescent="0.3">
      <c r="A730" t="s">
        <v>768</v>
      </c>
      <c r="B730">
        <v>46</v>
      </c>
      <c r="C730" t="s">
        <v>24</v>
      </c>
      <c r="D730" t="s">
        <v>17</v>
      </c>
      <c r="E730" t="s">
        <v>26</v>
      </c>
      <c r="F730" t="s">
        <v>27</v>
      </c>
      <c r="G730" t="s">
        <v>20</v>
      </c>
      <c r="H730">
        <v>64387</v>
      </c>
      <c r="I730">
        <v>0</v>
      </c>
      <c r="J730">
        <v>9</v>
      </c>
      <c r="K730" t="s">
        <v>21</v>
      </c>
      <c r="L730" t="s">
        <v>45</v>
      </c>
      <c r="M730">
        <v>6</v>
      </c>
      <c r="N730" t="s">
        <v>29</v>
      </c>
      <c r="O730">
        <v>3</v>
      </c>
    </row>
    <row r="731" spans="1:15" x14ac:dyDescent="0.3">
      <c r="A731" t="s">
        <v>769</v>
      </c>
      <c r="B731">
        <v>54</v>
      </c>
      <c r="C731" t="s">
        <v>16</v>
      </c>
      <c r="D731" t="s">
        <v>35</v>
      </c>
      <c r="E731" t="s">
        <v>41</v>
      </c>
      <c r="F731" t="s">
        <v>27</v>
      </c>
      <c r="G731" t="s">
        <v>28</v>
      </c>
      <c r="H731">
        <v>23089</v>
      </c>
      <c r="I731">
        <v>15</v>
      </c>
      <c r="J731">
        <v>4</v>
      </c>
      <c r="K731" t="s">
        <v>21</v>
      </c>
      <c r="L731" t="s">
        <v>30</v>
      </c>
      <c r="M731">
        <v>59</v>
      </c>
      <c r="N731" t="s">
        <v>29</v>
      </c>
      <c r="O731">
        <v>5</v>
      </c>
    </row>
    <row r="732" spans="1:15" x14ac:dyDescent="0.3">
      <c r="A732" t="s">
        <v>770</v>
      </c>
      <c r="B732">
        <v>34</v>
      </c>
      <c r="C732" t="s">
        <v>16</v>
      </c>
      <c r="D732" t="s">
        <v>17</v>
      </c>
      <c r="E732" t="s">
        <v>18</v>
      </c>
      <c r="F732" t="s">
        <v>38</v>
      </c>
      <c r="G732" t="s">
        <v>20</v>
      </c>
      <c r="H732">
        <v>118827</v>
      </c>
      <c r="I732">
        <v>0</v>
      </c>
      <c r="J732">
        <v>1</v>
      </c>
      <c r="K732" t="s">
        <v>29</v>
      </c>
      <c r="L732" t="s">
        <v>45</v>
      </c>
      <c r="M732">
        <v>60</v>
      </c>
      <c r="N732" t="s">
        <v>21</v>
      </c>
      <c r="O732">
        <v>2</v>
      </c>
    </row>
    <row r="733" spans="1:15" x14ac:dyDescent="0.3">
      <c r="A733" t="s">
        <v>771</v>
      </c>
      <c r="B733">
        <v>46</v>
      </c>
      <c r="C733" t="s">
        <v>24</v>
      </c>
      <c r="D733" t="s">
        <v>40</v>
      </c>
      <c r="E733" t="s">
        <v>18</v>
      </c>
      <c r="F733" t="s">
        <v>38</v>
      </c>
      <c r="G733" t="s">
        <v>28</v>
      </c>
      <c r="H733">
        <v>40659</v>
      </c>
      <c r="I733">
        <v>16</v>
      </c>
      <c r="J733">
        <v>2</v>
      </c>
      <c r="K733" t="s">
        <v>29</v>
      </c>
      <c r="L733" t="s">
        <v>45</v>
      </c>
      <c r="M733">
        <v>18</v>
      </c>
      <c r="N733" t="s">
        <v>21</v>
      </c>
      <c r="O733">
        <v>3</v>
      </c>
    </row>
    <row r="734" spans="1:15" x14ac:dyDescent="0.3">
      <c r="A734" t="s">
        <v>772</v>
      </c>
      <c r="B734">
        <v>47</v>
      </c>
      <c r="C734" t="s">
        <v>16</v>
      </c>
      <c r="D734" t="s">
        <v>17</v>
      </c>
      <c r="E734" t="s">
        <v>33</v>
      </c>
      <c r="F734" t="s">
        <v>19</v>
      </c>
      <c r="G734" t="s">
        <v>28</v>
      </c>
      <c r="H734">
        <v>65178</v>
      </c>
      <c r="I734">
        <v>5</v>
      </c>
      <c r="J734">
        <v>5</v>
      </c>
      <c r="K734" t="s">
        <v>21</v>
      </c>
      <c r="L734" t="s">
        <v>45</v>
      </c>
      <c r="M734">
        <v>10</v>
      </c>
      <c r="N734" t="s">
        <v>29</v>
      </c>
      <c r="O734">
        <v>2</v>
      </c>
    </row>
    <row r="735" spans="1:15" x14ac:dyDescent="0.3">
      <c r="A735" t="s">
        <v>773</v>
      </c>
      <c r="B735">
        <v>29</v>
      </c>
      <c r="C735" t="s">
        <v>24</v>
      </c>
      <c r="D735" t="s">
        <v>40</v>
      </c>
      <c r="E735" t="s">
        <v>26</v>
      </c>
      <c r="F735" t="s">
        <v>36</v>
      </c>
      <c r="G735" t="s">
        <v>28</v>
      </c>
      <c r="H735">
        <v>115965</v>
      </c>
      <c r="I735">
        <v>1</v>
      </c>
      <c r="J735">
        <v>4</v>
      </c>
      <c r="K735" t="s">
        <v>29</v>
      </c>
      <c r="L735" t="s">
        <v>30</v>
      </c>
      <c r="M735">
        <v>99</v>
      </c>
      <c r="N735" t="s">
        <v>21</v>
      </c>
      <c r="O735">
        <v>3</v>
      </c>
    </row>
    <row r="736" spans="1:15" x14ac:dyDescent="0.3">
      <c r="A736" t="s">
        <v>774</v>
      </c>
      <c r="B736">
        <v>46</v>
      </c>
      <c r="C736" t="s">
        <v>24</v>
      </c>
      <c r="D736" t="s">
        <v>32</v>
      </c>
      <c r="E736" t="s">
        <v>18</v>
      </c>
      <c r="F736" t="s">
        <v>38</v>
      </c>
      <c r="G736" t="s">
        <v>20</v>
      </c>
      <c r="H736">
        <v>101268</v>
      </c>
      <c r="I736">
        <v>16</v>
      </c>
      <c r="J736">
        <v>3</v>
      </c>
      <c r="K736" t="s">
        <v>21</v>
      </c>
      <c r="L736" t="s">
        <v>45</v>
      </c>
      <c r="M736">
        <v>85</v>
      </c>
      <c r="N736" t="s">
        <v>29</v>
      </c>
      <c r="O736">
        <v>4</v>
      </c>
    </row>
    <row r="737" spans="1:15" x14ac:dyDescent="0.3">
      <c r="A737" t="s">
        <v>775</v>
      </c>
      <c r="B737">
        <v>42</v>
      </c>
      <c r="C737" t="s">
        <v>16</v>
      </c>
      <c r="D737" t="s">
        <v>44</v>
      </c>
      <c r="E737" t="s">
        <v>33</v>
      </c>
      <c r="F737" t="s">
        <v>38</v>
      </c>
      <c r="G737" t="s">
        <v>20</v>
      </c>
      <c r="H737">
        <v>105042</v>
      </c>
      <c r="I737">
        <v>5</v>
      </c>
      <c r="J737">
        <v>3</v>
      </c>
      <c r="K737" t="s">
        <v>21</v>
      </c>
      <c r="L737" t="s">
        <v>22</v>
      </c>
      <c r="M737">
        <v>93</v>
      </c>
      <c r="N737" t="s">
        <v>21</v>
      </c>
      <c r="O737">
        <v>5</v>
      </c>
    </row>
    <row r="738" spans="1:15" x14ac:dyDescent="0.3">
      <c r="A738" t="s">
        <v>776</v>
      </c>
      <c r="B738">
        <v>50</v>
      </c>
      <c r="C738" t="s">
        <v>16</v>
      </c>
      <c r="D738" t="s">
        <v>35</v>
      </c>
      <c r="E738" t="s">
        <v>50</v>
      </c>
      <c r="F738" t="s">
        <v>38</v>
      </c>
      <c r="G738" t="s">
        <v>28</v>
      </c>
      <c r="H738">
        <v>90726</v>
      </c>
      <c r="I738">
        <v>13</v>
      </c>
      <c r="J738">
        <v>4</v>
      </c>
      <c r="K738" t="s">
        <v>29</v>
      </c>
      <c r="L738" t="s">
        <v>22</v>
      </c>
      <c r="M738">
        <v>65</v>
      </c>
      <c r="N738" t="s">
        <v>29</v>
      </c>
      <c r="O738">
        <v>2</v>
      </c>
    </row>
    <row r="739" spans="1:15" x14ac:dyDescent="0.3">
      <c r="A739" t="s">
        <v>777</v>
      </c>
      <c r="B739">
        <v>37</v>
      </c>
      <c r="C739" t="s">
        <v>24</v>
      </c>
      <c r="D739" t="s">
        <v>40</v>
      </c>
      <c r="E739" t="s">
        <v>18</v>
      </c>
      <c r="F739" t="s">
        <v>19</v>
      </c>
      <c r="G739" t="s">
        <v>28</v>
      </c>
      <c r="H739">
        <v>90111</v>
      </c>
      <c r="I739">
        <v>17</v>
      </c>
      <c r="J739">
        <v>1</v>
      </c>
      <c r="K739" t="s">
        <v>21</v>
      </c>
      <c r="L739" t="s">
        <v>22</v>
      </c>
      <c r="M739">
        <v>16</v>
      </c>
      <c r="N739" t="s">
        <v>21</v>
      </c>
      <c r="O739">
        <v>3</v>
      </c>
    </row>
    <row r="740" spans="1:15" x14ac:dyDescent="0.3">
      <c r="A740" t="s">
        <v>778</v>
      </c>
      <c r="B740">
        <v>46</v>
      </c>
      <c r="C740" t="s">
        <v>24</v>
      </c>
      <c r="D740" t="s">
        <v>17</v>
      </c>
      <c r="E740" t="s">
        <v>18</v>
      </c>
      <c r="F740" t="s">
        <v>27</v>
      </c>
      <c r="G740" t="s">
        <v>20</v>
      </c>
      <c r="H740">
        <v>54565</v>
      </c>
      <c r="I740">
        <v>5</v>
      </c>
      <c r="J740">
        <v>8</v>
      </c>
      <c r="K740" t="s">
        <v>29</v>
      </c>
      <c r="L740" t="s">
        <v>30</v>
      </c>
      <c r="M740">
        <v>17</v>
      </c>
      <c r="N740" t="s">
        <v>29</v>
      </c>
      <c r="O740">
        <v>2</v>
      </c>
    </row>
    <row r="741" spans="1:15" x14ac:dyDescent="0.3">
      <c r="A741" t="s">
        <v>779</v>
      </c>
      <c r="B741">
        <v>56</v>
      </c>
      <c r="C741" t="s">
        <v>24</v>
      </c>
      <c r="D741" t="s">
        <v>35</v>
      </c>
      <c r="E741" t="s">
        <v>33</v>
      </c>
      <c r="F741" t="s">
        <v>19</v>
      </c>
      <c r="G741" t="s">
        <v>20</v>
      </c>
      <c r="H741">
        <v>109242</v>
      </c>
      <c r="I741">
        <v>9</v>
      </c>
      <c r="J741">
        <v>1</v>
      </c>
      <c r="K741" t="s">
        <v>21</v>
      </c>
      <c r="L741" t="s">
        <v>30</v>
      </c>
      <c r="M741">
        <v>23</v>
      </c>
      <c r="N741" t="s">
        <v>29</v>
      </c>
      <c r="O741">
        <v>3</v>
      </c>
    </row>
    <row r="742" spans="1:15" x14ac:dyDescent="0.3">
      <c r="A742" t="s">
        <v>780</v>
      </c>
      <c r="B742">
        <v>21</v>
      </c>
      <c r="C742" t="s">
        <v>24</v>
      </c>
      <c r="D742" t="s">
        <v>44</v>
      </c>
      <c r="E742" t="s">
        <v>26</v>
      </c>
      <c r="F742" t="s">
        <v>36</v>
      </c>
      <c r="G742" t="s">
        <v>20</v>
      </c>
      <c r="H742">
        <v>42884</v>
      </c>
      <c r="I742">
        <v>17</v>
      </c>
      <c r="J742">
        <v>9</v>
      </c>
      <c r="K742" t="s">
        <v>29</v>
      </c>
      <c r="L742" t="s">
        <v>22</v>
      </c>
      <c r="M742">
        <v>48</v>
      </c>
      <c r="N742" t="s">
        <v>21</v>
      </c>
      <c r="O742">
        <v>3</v>
      </c>
    </row>
    <row r="743" spans="1:15" x14ac:dyDescent="0.3">
      <c r="A743" t="s">
        <v>781</v>
      </c>
      <c r="B743">
        <v>28</v>
      </c>
      <c r="C743" t="s">
        <v>16</v>
      </c>
      <c r="D743" t="s">
        <v>32</v>
      </c>
      <c r="E743" t="s">
        <v>18</v>
      </c>
      <c r="F743" t="s">
        <v>36</v>
      </c>
      <c r="G743" t="s">
        <v>28</v>
      </c>
      <c r="H743">
        <v>37199</v>
      </c>
      <c r="I743">
        <v>8</v>
      </c>
      <c r="J743">
        <v>1</v>
      </c>
      <c r="K743" t="s">
        <v>21</v>
      </c>
      <c r="L743" t="s">
        <v>22</v>
      </c>
      <c r="M743">
        <v>93</v>
      </c>
      <c r="N743" t="s">
        <v>21</v>
      </c>
      <c r="O743">
        <v>1</v>
      </c>
    </row>
    <row r="744" spans="1:15" x14ac:dyDescent="0.3">
      <c r="A744" t="s">
        <v>782</v>
      </c>
      <c r="B744">
        <v>55</v>
      </c>
      <c r="C744" t="s">
        <v>16</v>
      </c>
      <c r="D744" t="s">
        <v>35</v>
      </c>
      <c r="E744" t="s">
        <v>50</v>
      </c>
      <c r="F744" t="s">
        <v>36</v>
      </c>
      <c r="G744" t="s">
        <v>20</v>
      </c>
      <c r="H744">
        <v>80038</v>
      </c>
      <c r="I744">
        <v>7</v>
      </c>
      <c r="J744">
        <v>9</v>
      </c>
      <c r="K744" t="s">
        <v>29</v>
      </c>
      <c r="L744" t="s">
        <v>22</v>
      </c>
      <c r="M744">
        <v>99</v>
      </c>
      <c r="N744" t="s">
        <v>21</v>
      </c>
      <c r="O744">
        <v>1</v>
      </c>
    </row>
    <row r="745" spans="1:15" x14ac:dyDescent="0.3">
      <c r="A745" t="s">
        <v>783</v>
      </c>
      <c r="B745">
        <v>35</v>
      </c>
      <c r="C745" t="s">
        <v>16</v>
      </c>
      <c r="D745" t="s">
        <v>40</v>
      </c>
      <c r="E745" t="s">
        <v>18</v>
      </c>
      <c r="F745" t="s">
        <v>36</v>
      </c>
      <c r="G745" t="s">
        <v>28</v>
      </c>
      <c r="H745">
        <v>77786</v>
      </c>
      <c r="I745">
        <v>9</v>
      </c>
      <c r="J745">
        <v>8</v>
      </c>
      <c r="K745" t="s">
        <v>21</v>
      </c>
      <c r="L745" t="s">
        <v>47</v>
      </c>
      <c r="M745">
        <v>63</v>
      </c>
      <c r="N745" t="s">
        <v>21</v>
      </c>
      <c r="O745">
        <v>1</v>
      </c>
    </row>
    <row r="746" spans="1:15" x14ac:dyDescent="0.3">
      <c r="A746" t="s">
        <v>784</v>
      </c>
      <c r="B746">
        <v>42</v>
      </c>
      <c r="C746" t="s">
        <v>16</v>
      </c>
      <c r="D746" t="s">
        <v>44</v>
      </c>
      <c r="E746" t="s">
        <v>50</v>
      </c>
      <c r="F746" t="s">
        <v>38</v>
      </c>
      <c r="G746" t="s">
        <v>20</v>
      </c>
      <c r="H746">
        <v>69294</v>
      </c>
      <c r="I746">
        <v>16</v>
      </c>
      <c r="J746">
        <v>2</v>
      </c>
      <c r="K746" t="s">
        <v>21</v>
      </c>
      <c r="L746" t="s">
        <v>22</v>
      </c>
      <c r="M746">
        <v>41</v>
      </c>
      <c r="N746" t="s">
        <v>21</v>
      </c>
      <c r="O746">
        <v>2</v>
      </c>
    </row>
    <row r="747" spans="1:15" x14ac:dyDescent="0.3">
      <c r="A747" t="s">
        <v>785</v>
      </c>
      <c r="B747">
        <v>34</v>
      </c>
      <c r="C747" t="s">
        <v>16</v>
      </c>
      <c r="D747" t="s">
        <v>17</v>
      </c>
      <c r="E747" t="s">
        <v>41</v>
      </c>
      <c r="F747" t="s">
        <v>38</v>
      </c>
      <c r="G747" t="s">
        <v>28</v>
      </c>
      <c r="H747">
        <v>98015</v>
      </c>
      <c r="I747">
        <v>5</v>
      </c>
      <c r="J747">
        <v>9</v>
      </c>
      <c r="K747" t="s">
        <v>29</v>
      </c>
      <c r="L747" t="s">
        <v>45</v>
      </c>
      <c r="M747">
        <v>29</v>
      </c>
      <c r="N747" t="s">
        <v>29</v>
      </c>
      <c r="O747">
        <v>4</v>
      </c>
    </row>
    <row r="748" spans="1:15" x14ac:dyDescent="0.3">
      <c r="A748" t="s">
        <v>786</v>
      </c>
      <c r="B748">
        <v>46</v>
      </c>
      <c r="C748" t="s">
        <v>24</v>
      </c>
      <c r="D748" t="s">
        <v>44</v>
      </c>
      <c r="E748" t="s">
        <v>41</v>
      </c>
      <c r="F748" t="s">
        <v>19</v>
      </c>
      <c r="G748" t="s">
        <v>28</v>
      </c>
      <c r="H748">
        <v>54178</v>
      </c>
      <c r="I748">
        <v>13</v>
      </c>
      <c r="J748">
        <v>6</v>
      </c>
      <c r="K748" t="s">
        <v>21</v>
      </c>
      <c r="L748" t="s">
        <v>47</v>
      </c>
      <c r="M748">
        <v>20</v>
      </c>
      <c r="N748" t="s">
        <v>29</v>
      </c>
      <c r="O748">
        <v>3</v>
      </c>
    </row>
    <row r="749" spans="1:15" x14ac:dyDescent="0.3">
      <c r="A749" t="s">
        <v>787</v>
      </c>
      <c r="B749">
        <v>48</v>
      </c>
      <c r="C749" t="s">
        <v>16</v>
      </c>
      <c r="D749" t="s">
        <v>44</v>
      </c>
      <c r="E749" t="s">
        <v>50</v>
      </c>
      <c r="F749" t="s">
        <v>27</v>
      </c>
      <c r="G749" t="s">
        <v>28</v>
      </c>
      <c r="H749">
        <v>32665</v>
      </c>
      <c r="I749">
        <v>5</v>
      </c>
      <c r="J749">
        <v>3</v>
      </c>
      <c r="K749" t="s">
        <v>29</v>
      </c>
      <c r="L749" t="s">
        <v>47</v>
      </c>
      <c r="M749">
        <v>42</v>
      </c>
      <c r="N749" t="s">
        <v>21</v>
      </c>
      <c r="O749">
        <v>5</v>
      </c>
    </row>
    <row r="750" spans="1:15" x14ac:dyDescent="0.3">
      <c r="A750" t="s">
        <v>788</v>
      </c>
      <c r="B750">
        <v>43</v>
      </c>
      <c r="C750" t="s">
        <v>16</v>
      </c>
      <c r="D750" t="s">
        <v>25</v>
      </c>
      <c r="E750" t="s">
        <v>26</v>
      </c>
      <c r="F750" t="s">
        <v>36</v>
      </c>
      <c r="G750" t="s">
        <v>20</v>
      </c>
      <c r="H750">
        <v>20534</v>
      </c>
      <c r="I750">
        <v>6</v>
      </c>
      <c r="J750">
        <v>5</v>
      </c>
      <c r="K750" t="s">
        <v>29</v>
      </c>
      <c r="L750" t="s">
        <v>30</v>
      </c>
      <c r="M750">
        <v>47</v>
      </c>
      <c r="N750" t="s">
        <v>29</v>
      </c>
      <c r="O750">
        <v>1</v>
      </c>
    </row>
    <row r="751" spans="1:15" x14ac:dyDescent="0.3">
      <c r="A751" t="s">
        <v>789</v>
      </c>
      <c r="B751">
        <v>34</v>
      </c>
      <c r="C751" t="s">
        <v>16</v>
      </c>
      <c r="D751" t="s">
        <v>44</v>
      </c>
      <c r="E751" t="s">
        <v>18</v>
      </c>
      <c r="F751" t="s">
        <v>19</v>
      </c>
      <c r="G751" t="s">
        <v>20</v>
      </c>
      <c r="H751">
        <v>111828</v>
      </c>
      <c r="I751">
        <v>11</v>
      </c>
      <c r="J751">
        <v>3</v>
      </c>
      <c r="K751" t="s">
        <v>21</v>
      </c>
      <c r="L751" t="s">
        <v>45</v>
      </c>
      <c r="M751">
        <v>91</v>
      </c>
      <c r="N751" t="s">
        <v>29</v>
      </c>
      <c r="O751">
        <v>2</v>
      </c>
    </row>
    <row r="752" spans="1:15" x14ac:dyDescent="0.3">
      <c r="A752" t="s">
        <v>790</v>
      </c>
      <c r="B752">
        <v>44</v>
      </c>
      <c r="C752" t="s">
        <v>16</v>
      </c>
      <c r="D752" t="s">
        <v>44</v>
      </c>
      <c r="E752" t="s">
        <v>18</v>
      </c>
      <c r="F752" t="s">
        <v>38</v>
      </c>
      <c r="G752" t="s">
        <v>20</v>
      </c>
      <c r="H752">
        <v>56132</v>
      </c>
      <c r="I752">
        <v>2</v>
      </c>
      <c r="J752">
        <v>9</v>
      </c>
      <c r="K752" t="s">
        <v>21</v>
      </c>
      <c r="L752" t="s">
        <v>30</v>
      </c>
      <c r="M752">
        <v>18</v>
      </c>
      <c r="N752" t="s">
        <v>21</v>
      </c>
      <c r="O752">
        <v>2</v>
      </c>
    </row>
    <row r="753" spans="1:15" x14ac:dyDescent="0.3">
      <c r="A753" t="s">
        <v>791</v>
      </c>
      <c r="B753">
        <v>22</v>
      </c>
      <c r="C753" t="s">
        <v>16</v>
      </c>
      <c r="D753" t="s">
        <v>35</v>
      </c>
      <c r="E753" t="s">
        <v>41</v>
      </c>
      <c r="F753" t="s">
        <v>38</v>
      </c>
      <c r="G753" t="s">
        <v>28</v>
      </c>
      <c r="H753">
        <v>56110</v>
      </c>
      <c r="I753">
        <v>13</v>
      </c>
      <c r="J753">
        <v>6</v>
      </c>
      <c r="K753" t="s">
        <v>21</v>
      </c>
      <c r="L753" t="s">
        <v>30</v>
      </c>
      <c r="M753">
        <v>10</v>
      </c>
      <c r="N753" t="s">
        <v>29</v>
      </c>
      <c r="O753">
        <v>2</v>
      </c>
    </row>
    <row r="754" spans="1:15" x14ac:dyDescent="0.3">
      <c r="A754" t="s">
        <v>792</v>
      </c>
      <c r="B754">
        <v>46</v>
      </c>
      <c r="C754" t="s">
        <v>24</v>
      </c>
      <c r="D754" t="s">
        <v>17</v>
      </c>
      <c r="E754" t="s">
        <v>50</v>
      </c>
      <c r="F754" t="s">
        <v>27</v>
      </c>
      <c r="G754" t="s">
        <v>28</v>
      </c>
      <c r="H754">
        <v>78754</v>
      </c>
      <c r="I754">
        <v>18</v>
      </c>
      <c r="J754">
        <v>0</v>
      </c>
      <c r="K754" t="s">
        <v>21</v>
      </c>
      <c r="L754" t="s">
        <v>45</v>
      </c>
      <c r="M754">
        <v>93</v>
      </c>
      <c r="N754" t="s">
        <v>29</v>
      </c>
      <c r="O754">
        <v>5</v>
      </c>
    </row>
    <row r="755" spans="1:15" x14ac:dyDescent="0.3">
      <c r="A755" t="s">
        <v>793</v>
      </c>
      <c r="B755">
        <v>34</v>
      </c>
      <c r="C755" t="s">
        <v>24</v>
      </c>
      <c r="D755" t="s">
        <v>35</v>
      </c>
      <c r="E755" t="s">
        <v>18</v>
      </c>
      <c r="F755" t="s">
        <v>27</v>
      </c>
      <c r="G755" t="s">
        <v>20</v>
      </c>
      <c r="H755">
        <v>83580</v>
      </c>
      <c r="I755">
        <v>15</v>
      </c>
      <c r="J755">
        <v>2</v>
      </c>
      <c r="K755" t="s">
        <v>29</v>
      </c>
      <c r="L755" t="s">
        <v>30</v>
      </c>
      <c r="M755">
        <v>27</v>
      </c>
      <c r="N755" t="s">
        <v>21</v>
      </c>
      <c r="O755">
        <v>5</v>
      </c>
    </row>
    <row r="756" spans="1:15" x14ac:dyDescent="0.3">
      <c r="A756" t="s">
        <v>794</v>
      </c>
      <c r="B756">
        <v>27</v>
      </c>
      <c r="C756" t="s">
        <v>24</v>
      </c>
      <c r="D756" t="s">
        <v>35</v>
      </c>
      <c r="E756" t="s">
        <v>18</v>
      </c>
      <c r="F756" t="s">
        <v>27</v>
      </c>
      <c r="G756" t="s">
        <v>28</v>
      </c>
      <c r="H756">
        <v>42469</v>
      </c>
      <c r="I756">
        <v>6</v>
      </c>
      <c r="J756">
        <v>2</v>
      </c>
      <c r="K756" t="s">
        <v>21</v>
      </c>
      <c r="L756" t="s">
        <v>45</v>
      </c>
      <c r="M756">
        <v>64</v>
      </c>
      <c r="N756" t="s">
        <v>21</v>
      </c>
      <c r="O756">
        <v>1</v>
      </c>
    </row>
    <row r="757" spans="1:15" x14ac:dyDescent="0.3">
      <c r="A757" t="s">
        <v>795</v>
      </c>
      <c r="B757">
        <v>23</v>
      </c>
      <c r="C757" t="s">
        <v>16</v>
      </c>
      <c r="D757" t="s">
        <v>40</v>
      </c>
      <c r="E757" t="s">
        <v>26</v>
      </c>
      <c r="F757" t="s">
        <v>19</v>
      </c>
      <c r="G757" t="s">
        <v>28</v>
      </c>
      <c r="H757">
        <v>84016</v>
      </c>
      <c r="I757">
        <v>7</v>
      </c>
      <c r="J757">
        <v>0</v>
      </c>
      <c r="K757" t="s">
        <v>21</v>
      </c>
      <c r="L757" t="s">
        <v>45</v>
      </c>
      <c r="M757">
        <v>16</v>
      </c>
      <c r="N757" t="s">
        <v>29</v>
      </c>
      <c r="O757">
        <v>5</v>
      </c>
    </row>
    <row r="758" spans="1:15" x14ac:dyDescent="0.3">
      <c r="A758" t="s">
        <v>796</v>
      </c>
      <c r="B758">
        <v>43</v>
      </c>
      <c r="C758" t="s">
        <v>24</v>
      </c>
      <c r="D758" t="s">
        <v>35</v>
      </c>
      <c r="E758" t="s">
        <v>33</v>
      </c>
      <c r="F758" t="s">
        <v>38</v>
      </c>
      <c r="G758" t="s">
        <v>28</v>
      </c>
      <c r="H758">
        <v>66233</v>
      </c>
      <c r="I758">
        <v>17</v>
      </c>
      <c r="J758">
        <v>5</v>
      </c>
      <c r="K758" t="s">
        <v>21</v>
      </c>
      <c r="L758" t="s">
        <v>30</v>
      </c>
      <c r="M758">
        <v>17</v>
      </c>
      <c r="N758" t="s">
        <v>21</v>
      </c>
      <c r="O758">
        <v>1</v>
      </c>
    </row>
    <row r="759" spans="1:15" x14ac:dyDescent="0.3">
      <c r="A759" t="s">
        <v>797</v>
      </c>
      <c r="B759">
        <v>38</v>
      </c>
      <c r="C759" t="s">
        <v>24</v>
      </c>
      <c r="D759" t="s">
        <v>25</v>
      </c>
      <c r="E759" t="s">
        <v>41</v>
      </c>
      <c r="F759" t="s">
        <v>38</v>
      </c>
      <c r="G759" t="s">
        <v>20</v>
      </c>
      <c r="H759">
        <v>86708</v>
      </c>
      <c r="I759">
        <v>12</v>
      </c>
      <c r="J759">
        <v>8</v>
      </c>
      <c r="K759" t="s">
        <v>29</v>
      </c>
      <c r="L759" t="s">
        <v>22</v>
      </c>
      <c r="M759">
        <v>10</v>
      </c>
      <c r="N759" t="s">
        <v>29</v>
      </c>
      <c r="O759">
        <v>5</v>
      </c>
    </row>
    <row r="760" spans="1:15" x14ac:dyDescent="0.3">
      <c r="A760" t="s">
        <v>798</v>
      </c>
      <c r="B760">
        <v>58</v>
      </c>
      <c r="C760" t="s">
        <v>16</v>
      </c>
      <c r="D760" t="s">
        <v>25</v>
      </c>
      <c r="E760" t="s">
        <v>41</v>
      </c>
      <c r="F760" t="s">
        <v>27</v>
      </c>
      <c r="G760" t="s">
        <v>28</v>
      </c>
      <c r="H760">
        <v>78232</v>
      </c>
      <c r="I760">
        <v>8</v>
      </c>
      <c r="J760">
        <v>7</v>
      </c>
      <c r="K760" t="s">
        <v>21</v>
      </c>
      <c r="L760" t="s">
        <v>30</v>
      </c>
      <c r="M760">
        <v>67</v>
      </c>
      <c r="N760" t="s">
        <v>21</v>
      </c>
      <c r="O760">
        <v>5</v>
      </c>
    </row>
    <row r="761" spans="1:15" x14ac:dyDescent="0.3">
      <c r="A761" t="s">
        <v>799</v>
      </c>
      <c r="B761">
        <v>55</v>
      </c>
      <c r="C761" t="s">
        <v>16</v>
      </c>
      <c r="D761" t="s">
        <v>40</v>
      </c>
      <c r="E761" t="s">
        <v>33</v>
      </c>
      <c r="F761" t="s">
        <v>36</v>
      </c>
      <c r="G761" t="s">
        <v>20</v>
      </c>
      <c r="H761">
        <v>113450</v>
      </c>
      <c r="I761">
        <v>9</v>
      </c>
      <c r="J761">
        <v>6</v>
      </c>
      <c r="K761" t="s">
        <v>29</v>
      </c>
      <c r="L761" t="s">
        <v>47</v>
      </c>
      <c r="M761">
        <v>42</v>
      </c>
      <c r="N761" t="s">
        <v>21</v>
      </c>
      <c r="O761">
        <v>5</v>
      </c>
    </row>
    <row r="762" spans="1:15" x14ac:dyDescent="0.3">
      <c r="A762" t="s">
        <v>800</v>
      </c>
      <c r="B762">
        <v>35</v>
      </c>
      <c r="C762" t="s">
        <v>16</v>
      </c>
      <c r="D762" t="s">
        <v>32</v>
      </c>
      <c r="E762" t="s">
        <v>18</v>
      </c>
      <c r="F762" t="s">
        <v>27</v>
      </c>
      <c r="G762" t="s">
        <v>20</v>
      </c>
      <c r="H762">
        <v>106437</v>
      </c>
      <c r="I762">
        <v>8</v>
      </c>
      <c r="J762">
        <v>9</v>
      </c>
      <c r="K762" t="s">
        <v>21</v>
      </c>
      <c r="L762" t="s">
        <v>30</v>
      </c>
      <c r="M762">
        <v>54</v>
      </c>
      <c r="N762" t="s">
        <v>21</v>
      </c>
      <c r="O762">
        <v>1</v>
      </c>
    </row>
    <row r="763" spans="1:15" x14ac:dyDescent="0.3">
      <c r="A763" t="s">
        <v>801</v>
      </c>
      <c r="B763">
        <v>45</v>
      </c>
      <c r="C763" t="s">
        <v>24</v>
      </c>
      <c r="D763" t="s">
        <v>17</v>
      </c>
      <c r="E763" t="s">
        <v>26</v>
      </c>
      <c r="F763" t="s">
        <v>19</v>
      </c>
      <c r="G763" t="s">
        <v>20</v>
      </c>
      <c r="H763">
        <v>54409</v>
      </c>
      <c r="I763">
        <v>14</v>
      </c>
      <c r="J763">
        <v>7</v>
      </c>
      <c r="K763" t="s">
        <v>29</v>
      </c>
      <c r="L763" t="s">
        <v>45</v>
      </c>
      <c r="M763">
        <v>56</v>
      </c>
      <c r="N763" t="s">
        <v>21</v>
      </c>
      <c r="O763">
        <v>3</v>
      </c>
    </row>
    <row r="764" spans="1:15" x14ac:dyDescent="0.3">
      <c r="A764" t="s">
        <v>802</v>
      </c>
      <c r="B764">
        <v>57</v>
      </c>
      <c r="C764" t="s">
        <v>24</v>
      </c>
      <c r="D764" t="s">
        <v>17</v>
      </c>
      <c r="E764" t="s">
        <v>26</v>
      </c>
      <c r="F764" t="s">
        <v>27</v>
      </c>
      <c r="G764" t="s">
        <v>20</v>
      </c>
      <c r="H764">
        <v>39324</v>
      </c>
      <c r="I764">
        <v>19</v>
      </c>
      <c r="J764">
        <v>5</v>
      </c>
      <c r="K764" t="s">
        <v>21</v>
      </c>
      <c r="L764" t="s">
        <v>47</v>
      </c>
      <c r="M764">
        <v>44</v>
      </c>
      <c r="N764" t="s">
        <v>29</v>
      </c>
      <c r="O764">
        <v>1</v>
      </c>
    </row>
    <row r="765" spans="1:15" x14ac:dyDescent="0.3">
      <c r="A765" t="s">
        <v>803</v>
      </c>
      <c r="B765">
        <v>48</v>
      </c>
      <c r="C765" t="s">
        <v>16</v>
      </c>
      <c r="D765" t="s">
        <v>35</v>
      </c>
      <c r="E765" t="s">
        <v>41</v>
      </c>
      <c r="F765" t="s">
        <v>27</v>
      </c>
      <c r="G765" t="s">
        <v>20</v>
      </c>
      <c r="H765">
        <v>28738</v>
      </c>
      <c r="I765">
        <v>1</v>
      </c>
      <c r="J765">
        <v>8</v>
      </c>
      <c r="K765" t="s">
        <v>21</v>
      </c>
      <c r="L765" t="s">
        <v>45</v>
      </c>
      <c r="M765">
        <v>12</v>
      </c>
      <c r="N765" t="s">
        <v>21</v>
      </c>
      <c r="O765">
        <v>3</v>
      </c>
    </row>
    <row r="766" spans="1:15" x14ac:dyDescent="0.3">
      <c r="A766" t="s">
        <v>804</v>
      </c>
      <c r="B766">
        <v>30</v>
      </c>
      <c r="C766" t="s">
        <v>16</v>
      </c>
      <c r="D766" t="s">
        <v>35</v>
      </c>
      <c r="E766" t="s">
        <v>26</v>
      </c>
      <c r="F766" t="s">
        <v>19</v>
      </c>
      <c r="G766" t="s">
        <v>28</v>
      </c>
      <c r="H766">
        <v>44054</v>
      </c>
      <c r="I766">
        <v>12</v>
      </c>
      <c r="J766">
        <v>2</v>
      </c>
      <c r="K766" t="s">
        <v>29</v>
      </c>
      <c r="L766" t="s">
        <v>22</v>
      </c>
      <c r="M766">
        <v>65</v>
      </c>
      <c r="N766" t="s">
        <v>21</v>
      </c>
      <c r="O766">
        <v>2</v>
      </c>
    </row>
    <row r="767" spans="1:15" x14ac:dyDescent="0.3">
      <c r="A767" t="s">
        <v>805</v>
      </c>
      <c r="B767">
        <v>59</v>
      </c>
      <c r="C767" t="s">
        <v>24</v>
      </c>
      <c r="D767" t="s">
        <v>32</v>
      </c>
      <c r="E767" t="s">
        <v>33</v>
      </c>
      <c r="F767" t="s">
        <v>27</v>
      </c>
      <c r="G767" t="s">
        <v>20</v>
      </c>
      <c r="H767">
        <v>49709</v>
      </c>
      <c r="I767">
        <v>1</v>
      </c>
      <c r="J767">
        <v>9</v>
      </c>
      <c r="K767" t="s">
        <v>21</v>
      </c>
      <c r="L767" t="s">
        <v>22</v>
      </c>
      <c r="M767">
        <v>12</v>
      </c>
      <c r="N767" t="s">
        <v>29</v>
      </c>
      <c r="O767">
        <v>2</v>
      </c>
    </row>
    <row r="768" spans="1:15" x14ac:dyDescent="0.3">
      <c r="A768" t="s">
        <v>806</v>
      </c>
      <c r="B768">
        <v>37</v>
      </c>
      <c r="C768" t="s">
        <v>24</v>
      </c>
      <c r="D768" t="s">
        <v>35</v>
      </c>
      <c r="E768" t="s">
        <v>18</v>
      </c>
      <c r="F768" t="s">
        <v>38</v>
      </c>
      <c r="G768" t="s">
        <v>20</v>
      </c>
      <c r="H768">
        <v>105643</v>
      </c>
      <c r="I768">
        <v>18</v>
      </c>
      <c r="J768">
        <v>9</v>
      </c>
      <c r="K768" t="s">
        <v>21</v>
      </c>
      <c r="L768" t="s">
        <v>47</v>
      </c>
      <c r="M768">
        <v>38</v>
      </c>
      <c r="N768" t="s">
        <v>29</v>
      </c>
      <c r="O768">
        <v>1</v>
      </c>
    </row>
    <row r="769" spans="1:15" x14ac:dyDescent="0.3">
      <c r="A769" t="s">
        <v>807</v>
      </c>
      <c r="B769">
        <v>59</v>
      </c>
      <c r="C769" t="s">
        <v>16</v>
      </c>
      <c r="D769" t="s">
        <v>17</v>
      </c>
      <c r="E769" t="s">
        <v>33</v>
      </c>
      <c r="F769" t="s">
        <v>36</v>
      </c>
      <c r="G769" t="s">
        <v>20</v>
      </c>
      <c r="H769">
        <v>20363</v>
      </c>
      <c r="I769">
        <v>1</v>
      </c>
      <c r="J769">
        <v>8</v>
      </c>
      <c r="K769" t="s">
        <v>21</v>
      </c>
      <c r="L769" t="s">
        <v>22</v>
      </c>
      <c r="M769">
        <v>83</v>
      </c>
      <c r="N769" t="s">
        <v>29</v>
      </c>
      <c r="O769">
        <v>3</v>
      </c>
    </row>
    <row r="770" spans="1:15" x14ac:dyDescent="0.3">
      <c r="A770" t="s">
        <v>808</v>
      </c>
      <c r="B770">
        <v>42</v>
      </c>
      <c r="C770" t="s">
        <v>16</v>
      </c>
      <c r="D770" t="s">
        <v>44</v>
      </c>
      <c r="E770" t="s">
        <v>50</v>
      </c>
      <c r="F770" t="s">
        <v>27</v>
      </c>
      <c r="G770" t="s">
        <v>28</v>
      </c>
      <c r="H770">
        <v>30358</v>
      </c>
      <c r="I770">
        <v>2</v>
      </c>
      <c r="J770">
        <v>3</v>
      </c>
      <c r="K770" t="s">
        <v>29</v>
      </c>
      <c r="L770" t="s">
        <v>22</v>
      </c>
      <c r="M770">
        <v>64</v>
      </c>
      <c r="N770" t="s">
        <v>29</v>
      </c>
      <c r="O770">
        <v>3</v>
      </c>
    </row>
    <row r="771" spans="1:15" x14ac:dyDescent="0.3">
      <c r="A771" t="s">
        <v>809</v>
      </c>
      <c r="B771">
        <v>46</v>
      </c>
      <c r="C771" t="s">
        <v>24</v>
      </c>
      <c r="D771" t="s">
        <v>25</v>
      </c>
      <c r="E771" t="s">
        <v>41</v>
      </c>
      <c r="F771" t="s">
        <v>19</v>
      </c>
      <c r="G771" t="s">
        <v>28</v>
      </c>
      <c r="H771">
        <v>23240</v>
      </c>
      <c r="I771">
        <v>5</v>
      </c>
      <c r="J771">
        <v>6</v>
      </c>
      <c r="K771" t="s">
        <v>21</v>
      </c>
      <c r="L771" t="s">
        <v>30</v>
      </c>
      <c r="M771">
        <v>61</v>
      </c>
      <c r="N771" t="s">
        <v>21</v>
      </c>
      <c r="O771">
        <v>3</v>
      </c>
    </row>
    <row r="772" spans="1:15" x14ac:dyDescent="0.3">
      <c r="A772" t="s">
        <v>810</v>
      </c>
      <c r="B772">
        <v>45</v>
      </c>
      <c r="C772" t="s">
        <v>16</v>
      </c>
      <c r="D772" t="s">
        <v>44</v>
      </c>
      <c r="E772" t="s">
        <v>26</v>
      </c>
      <c r="F772" t="s">
        <v>36</v>
      </c>
      <c r="G772" t="s">
        <v>28</v>
      </c>
      <c r="H772">
        <v>92201</v>
      </c>
      <c r="I772">
        <v>2</v>
      </c>
      <c r="J772">
        <v>8</v>
      </c>
      <c r="K772" t="s">
        <v>29</v>
      </c>
      <c r="L772" t="s">
        <v>30</v>
      </c>
      <c r="M772">
        <v>50</v>
      </c>
      <c r="N772" t="s">
        <v>29</v>
      </c>
      <c r="O772">
        <v>2</v>
      </c>
    </row>
    <row r="773" spans="1:15" x14ac:dyDescent="0.3">
      <c r="A773" t="s">
        <v>811</v>
      </c>
      <c r="B773">
        <v>37</v>
      </c>
      <c r="C773" t="s">
        <v>24</v>
      </c>
      <c r="D773" t="s">
        <v>44</v>
      </c>
      <c r="E773" t="s">
        <v>50</v>
      </c>
      <c r="F773" t="s">
        <v>19</v>
      </c>
      <c r="G773" t="s">
        <v>28</v>
      </c>
      <c r="H773">
        <v>65689</v>
      </c>
      <c r="I773">
        <v>9</v>
      </c>
      <c r="J773">
        <v>1</v>
      </c>
      <c r="K773" t="s">
        <v>29</v>
      </c>
      <c r="L773" t="s">
        <v>22</v>
      </c>
      <c r="M773">
        <v>26</v>
      </c>
      <c r="N773" t="s">
        <v>21</v>
      </c>
      <c r="O773">
        <v>1</v>
      </c>
    </row>
    <row r="774" spans="1:15" x14ac:dyDescent="0.3">
      <c r="A774" t="s">
        <v>812</v>
      </c>
      <c r="B774">
        <v>33</v>
      </c>
      <c r="C774" t="s">
        <v>24</v>
      </c>
      <c r="D774" t="s">
        <v>17</v>
      </c>
      <c r="E774" t="s">
        <v>26</v>
      </c>
      <c r="F774" t="s">
        <v>36</v>
      </c>
      <c r="G774" t="s">
        <v>20</v>
      </c>
      <c r="H774">
        <v>21936</v>
      </c>
      <c r="I774">
        <v>5</v>
      </c>
      <c r="J774">
        <v>1</v>
      </c>
      <c r="K774" t="s">
        <v>29</v>
      </c>
      <c r="L774" t="s">
        <v>22</v>
      </c>
      <c r="M774">
        <v>91</v>
      </c>
      <c r="N774" t="s">
        <v>29</v>
      </c>
      <c r="O774">
        <v>4</v>
      </c>
    </row>
    <row r="775" spans="1:15" x14ac:dyDescent="0.3">
      <c r="A775" t="s">
        <v>813</v>
      </c>
      <c r="B775">
        <v>40</v>
      </c>
      <c r="C775" t="s">
        <v>24</v>
      </c>
      <c r="D775" t="s">
        <v>44</v>
      </c>
      <c r="E775" t="s">
        <v>18</v>
      </c>
      <c r="F775" t="s">
        <v>36</v>
      </c>
      <c r="G775" t="s">
        <v>20</v>
      </c>
      <c r="H775">
        <v>111074</v>
      </c>
      <c r="I775">
        <v>15</v>
      </c>
      <c r="J775">
        <v>8</v>
      </c>
      <c r="K775" t="s">
        <v>21</v>
      </c>
      <c r="L775" t="s">
        <v>30</v>
      </c>
      <c r="M775">
        <v>44</v>
      </c>
      <c r="N775" t="s">
        <v>21</v>
      </c>
      <c r="O775">
        <v>3</v>
      </c>
    </row>
    <row r="776" spans="1:15" x14ac:dyDescent="0.3">
      <c r="A776" t="s">
        <v>814</v>
      </c>
      <c r="B776">
        <v>45</v>
      </c>
      <c r="C776" t="s">
        <v>24</v>
      </c>
      <c r="D776" t="s">
        <v>32</v>
      </c>
      <c r="E776" t="s">
        <v>18</v>
      </c>
      <c r="F776" t="s">
        <v>27</v>
      </c>
      <c r="G776" t="s">
        <v>28</v>
      </c>
      <c r="H776">
        <v>63965</v>
      </c>
      <c r="I776">
        <v>16</v>
      </c>
      <c r="J776">
        <v>2</v>
      </c>
      <c r="K776" t="s">
        <v>29</v>
      </c>
      <c r="L776" t="s">
        <v>22</v>
      </c>
      <c r="M776">
        <v>49</v>
      </c>
      <c r="N776" t="s">
        <v>29</v>
      </c>
      <c r="O776">
        <v>3</v>
      </c>
    </row>
    <row r="777" spans="1:15" x14ac:dyDescent="0.3">
      <c r="A777" t="s">
        <v>815</v>
      </c>
      <c r="B777">
        <v>24</v>
      </c>
      <c r="C777" t="s">
        <v>16</v>
      </c>
      <c r="D777" t="s">
        <v>40</v>
      </c>
      <c r="E777" t="s">
        <v>18</v>
      </c>
      <c r="F777" t="s">
        <v>38</v>
      </c>
      <c r="G777" t="s">
        <v>28</v>
      </c>
      <c r="H777">
        <v>97534</v>
      </c>
      <c r="I777">
        <v>18</v>
      </c>
      <c r="J777">
        <v>8</v>
      </c>
      <c r="K777" t="s">
        <v>29</v>
      </c>
      <c r="L777" t="s">
        <v>22</v>
      </c>
      <c r="M777">
        <v>59</v>
      </c>
      <c r="N777" t="s">
        <v>21</v>
      </c>
      <c r="O777">
        <v>4</v>
      </c>
    </row>
    <row r="778" spans="1:15" x14ac:dyDescent="0.3">
      <c r="A778" t="s">
        <v>816</v>
      </c>
      <c r="B778">
        <v>30</v>
      </c>
      <c r="C778" t="s">
        <v>16</v>
      </c>
      <c r="D778" t="s">
        <v>35</v>
      </c>
      <c r="E778" t="s">
        <v>26</v>
      </c>
      <c r="F778" t="s">
        <v>27</v>
      </c>
      <c r="G778" t="s">
        <v>28</v>
      </c>
      <c r="H778">
        <v>20882</v>
      </c>
      <c r="I778">
        <v>2</v>
      </c>
      <c r="J778">
        <v>4</v>
      </c>
      <c r="K778" t="s">
        <v>21</v>
      </c>
      <c r="L778" t="s">
        <v>45</v>
      </c>
      <c r="M778">
        <v>55</v>
      </c>
      <c r="N778" t="s">
        <v>21</v>
      </c>
      <c r="O778">
        <v>1</v>
      </c>
    </row>
    <row r="779" spans="1:15" x14ac:dyDescent="0.3">
      <c r="A779" t="s">
        <v>817</v>
      </c>
      <c r="B779">
        <v>23</v>
      </c>
      <c r="C779" t="s">
        <v>24</v>
      </c>
      <c r="D779" t="s">
        <v>40</v>
      </c>
      <c r="E779" t="s">
        <v>50</v>
      </c>
      <c r="F779" t="s">
        <v>19</v>
      </c>
      <c r="G779" t="s">
        <v>28</v>
      </c>
      <c r="H779">
        <v>40224</v>
      </c>
      <c r="I779">
        <v>17</v>
      </c>
      <c r="J779">
        <v>5</v>
      </c>
      <c r="K779" t="s">
        <v>29</v>
      </c>
      <c r="L779" t="s">
        <v>22</v>
      </c>
      <c r="M779">
        <v>90</v>
      </c>
      <c r="N779" t="s">
        <v>29</v>
      </c>
      <c r="O779">
        <v>3</v>
      </c>
    </row>
    <row r="780" spans="1:15" x14ac:dyDescent="0.3">
      <c r="A780" t="s">
        <v>818</v>
      </c>
      <c r="B780">
        <v>38</v>
      </c>
      <c r="C780" t="s">
        <v>24</v>
      </c>
      <c r="D780" t="s">
        <v>25</v>
      </c>
      <c r="E780" t="s">
        <v>18</v>
      </c>
      <c r="F780" t="s">
        <v>19</v>
      </c>
      <c r="G780" t="s">
        <v>20</v>
      </c>
      <c r="H780">
        <v>50825</v>
      </c>
      <c r="I780">
        <v>6</v>
      </c>
      <c r="J780">
        <v>1</v>
      </c>
      <c r="K780" t="s">
        <v>29</v>
      </c>
      <c r="L780" t="s">
        <v>47</v>
      </c>
      <c r="M780">
        <v>9</v>
      </c>
      <c r="N780" t="s">
        <v>21</v>
      </c>
      <c r="O780">
        <v>1</v>
      </c>
    </row>
    <row r="781" spans="1:15" x14ac:dyDescent="0.3">
      <c r="A781" t="s">
        <v>819</v>
      </c>
      <c r="B781">
        <v>56</v>
      </c>
      <c r="C781" t="s">
        <v>24</v>
      </c>
      <c r="D781" t="s">
        <v>35</v>
      </c>
      <c r="E781" t="s">
        <v>50</v>
      </c>
      <c r="F781" t="s">
        <v>36</v>
      </c>
      <c r="G781" t="s">
        <v>28</v>
      </c>
      <c r="H781">
        <v>90740</v>
      </c>
      <c r="I781">
        <v>8</v>
      </c>
      <c r="J781">
        <v>7</v>
      </c>
      <c r="K781" t="s">
        <v>21</v>
      </c>
      <c r="L781" t="s">
        <v>45</v>
      </c>
      <c r="M781">
        <v>99</v>
      </c>
      <c r="N781" t="s">
        <v>21</v>
      </c>
      <c r="O781">
        <v>3</v>
      </c>
    </row>
    <row r="782" spans="1:15" x14ac:dyDescent="0.3">
      <c r="A782" t="s">
        <v>820</v>
      </c>
      <c r="B782">
        <v>42</v>
      </c>
      <c r="C782" t="s">
        <v>24</v>
      </c>
      <c r="D782" t="s">
        <v>44</v>
      </c>
      <c r="E782" t="s">
        <v>26</v>
      </c>
      <c r="F782" t="s">
        <v>36</v>
      </c>
      <c r="G782" t="s">
        <v>28</v>
      </c>
      <c r="H782">
        <v>48885</v>
      </c>
      <c r="I782">
        <v>19</v>
      </c>
      <c r="J782">
        <v>8</v>
      </c>
      <c r="K782" t="s">
        <v>21</v>
      </c>
      <c r="L782" t="s">
        <v>47</v>
      </c>
      <c r="M782">
        <v>17</v>
      </c>
      <c r="N782" t="s">
        <v>21</v>
      </c>
      <c r="O782">
        <v>5</v>
      </c>
    </row>
    <row r="783" spans="1:15" x14ac:dyDescent="0.3">
      <c r="A783" t="s">
        <v>821</v>
      </c>
      <c r="B783">
        <v>54</v>
      </c>
      <c r="C783" t="s">
        <v>24</v>
      </c>
      <c r="D783" t="s">
        <v>25</v>
      </c>
      <c r="E783" t="s">
        <v>50</v>
      </c>
      <c r="F783" t="s">
        <v>38</v>
      </c>
      <c r="G783" t="s">
        <v>28</v>
      </c>
      <c r="H783">
        <v>60056</v>
      </c>
      <c r="I783">
        <v>11</v>
      </c>
      <c r="J783">
        <v>1</v>
      </c>
      <c r="K783" t="s">
        <v>29</v>
      </c>
      <c r="L783" t="s">
        <v>22</v>
      </c>
      <c r="M783">
        <v>32</v>
      </c>
      <c r="N783" t="s">
        <v>21</v>
      </c>
      <c r="O783">
        <v>3</v>
      </c>
    </row>
    <row r="784" spans="1:15" x14ac:dyDescent="0.3">
      <c r="A784" t="s">
        <v>822</v>
      </c>
      <c r="B784">
        <v>28</v>
      </c>
      <c r="C784" t="s">
        <v>16</v>
      </c>
      <c r="D784" t="s">
        <v>35</v>
      </c>
      <c r="E784" t="s">
        <v>26</v>
      </c>
      <c r="F784" t="s">
        <v>27</v>
      </c>
      <c r="G784" t="s">
        <v>28</v>
      </c>
      <c r="H784">
        <v>23203</v>
      </c>
      <c r="I784">
        <v>4</v>
      </c>
      <c r="J784">
        <v>5</v>
      </c>
      <c r="K784" t="s">
        <v>21</v>
      </c>
      <c r="L784" t="s">
        <v>30</v>
      </c>
      <c r="M784">
        <v>88</v>
      </c>
      <c r="N784" t="s">
        <v>29</v>
      </c>
      <c r="O784">
        <v>5</v>
      </c>
    </row>
    <row r="785" spans="1:15" x14ac:dyDescent="0.3">
      <c r="A785" t="s">
        <v>823</v>
      </c>
      <c r="B785">
        <v>39</v>
      </c>
      <c r="C785" t="s">
        <v>16</v>
      </c>
      <c r="D785" t="s">
        <v>32</v>
      </c>
      <c r="E785" t="s">
        <v>26</v>
      </c>
      <c r="F785" t="s">
        <v>19</v>
      </c>
      <c r="G785" t="s">
        <v>28</v>
      </c>
      <c r="H785">
        <v>80241</v>
      </c>
      <c r="I785">
        <v>2</v>
      </c>
      <c r="J785">
        <v>5</v>
      </c>
      <c r="K785" t="s">
        <v>21</v>
      </c>
      <c r="L785" t="s">
        <v>45</v>
      </c>
      <c r="M785">
        <v>84</v>
      </c>
      <c r="N785" t="s">
        <v>21</v>
      </c>
      <c r="O785">
        <v>1</v>
      </c>
    </row>
    <row r="786" spans="1:15" x14ac:dyDescent="0.3">
      <c r="A786" t="s">
        <v>824</v>
      </c>
      <c r="B786">
        <v>57</v>
      </c>
      <c r="C786" t="s">
        <v>16</v>
      </c>
      <c r="D786" t="s">
        <v>32</v>
      </c>
      <c r="E786" t="s">
        <v>41</v>
      </c>
      <c r="F786" t="s">
        <v>36</v>
      </c>
      <c r="G786" t="s">
        <v>28</v>
      </c>
      <c r="H786">
        <v>22244</v>
      </c>
      <c r="I786">
        <v>10</v>
      </c>
      <c r="J786">
        <v>7</v>
      </c>
      <c r="K786" t="s">
        <v>21</v>
      </c>
      <c r="L786" t="s">
        <v>30</v>
      </c>
      <c r="M786">
        <v>66</v>
      </c>
      <c r="N786" t="s">
        <v>21</v>
      </c>
      <c r="O786">
        <v>3</v>
      </c>
    </row>
    <row r="787" spans="1:15" x14ac:dyDescent="0.3">
      <c r="A787" t="s">
        <v>825</v>
      </c>
      <c r="B787">
        <v>26</v>
      </c>
      <c r="C787" t="s">
        <v>16</v>
      </c>
      <c r="D787" t="s">
        <v>32</v>
      </c>
      <c r="E787" t="s">
        <v>26</v>
      </c>
      <c r="F787" t="s">
        <v>38</v>
      </c>
      <c r="G787" t="s">
        <v>28</v>
      </c>
      <c r="H787">
        <v>118322</v>
      </c>
      <c r="I787">
        <v>3</v>
      </c>
      <c r="J787">
        <v>9</v>
      </c>
      <c r="K787" t="s">
        <v>29</v>
      </c>
      <c r="L787" t="s">
        <v>45</v>
      </c>
      <c r="M787">
        <v>97</v>
      </c>
      <c r="N787" t="s">
        <v>29</v>
      </c>
      <c r="O787">
        <v>2</v>
      </c>
    </row>
    <row r="788" spans="1:15" x14ac:dyDescent="0.3">
      <c r="A788" t="s">
        <v>826</v>
      </c>
      <c r="B788">
        <v>46</v>
      </c>
      <c r="C788" t="s">
        <v>24</v>
      </c>
      <c r="D788" t="s">
        <v>32</v>
      </c>
      <c r="E788" t="s">
        <v>26</v>
      </c>
      <c r="F788" t="s">
        <v>19</v>
      </c>
      <c r="G788" t="s">
        <v>20</v>
      </c>
      <c r="H788">
        <v>88619</v>
      </c>
      <c r="I788">
        <v>4</v>
      </c>
      <c r="J788">
        <v>4</v>
      </c>
      <c r="K788" t="s">
        <v>29</v>
      </c>
      <c r="L788" t="s">
        <v>30</v>
      </c>
      <c r="M788">
        <v>91</v>
      </c>
      <c r="N788" t="s">
        <v>29</v>
      </c>
      <c r="O788">
        <v>2</v>
      </c>
    </row>
    <row r="789" spans="1:15" x14ac:dyDescent="0.3">
      <c r="A789" t="s">
        <v>827</v>
      </c>
      <c r="B789">
        <v>54</v>
      </c>
      <c r="C789" t="s">
        <v>24</v>
      </c>
      <c r="D789" t="s">
        <v>44</v>
      </c>
      <c r="E789" t="s">
        <v>33</v>
      </c>
      <c r="F789" t="s">
        <v>36</v>
      </c>
      <c r="G789" t="s">
        <v>20</v>
      </c>
      <c r="H789">
        <v>41584</v>
      </c>
      <c r="I789">
        <v>0</v>
      </c>
      <c r="J789">
        <v>8</v>
      </c>
      <c r="K789" t="s">
        <v>21</v>
      </c>
      <c r="L789" t="s">
        <v>45</v>
      </c>
      <c r="M789">
        <v>28</v>
      </c>
      <c r="N789" t="s">
        <v>29</v>
      </c>
      <c r="O789">
        <v>4</v>
      </c>
    </row>
    <row r="790" spans="1:15" x14ac:dyDescent="0.3">
      <c r="A790" t="s">
        <v>828</v>
      </c>
      <c r="B790">
        <v>26</v>
      </c>
      <c r="C790" t="s">
        <v>24</v>
      </c>
      <c r="D790" t="s">
        <v>40</v>
      </c>
      <c r="E790" t="s">
        <v>18</v>
      </c>
      <c r="F790" t="s">
        <v>19</v>
      </c>
      <c r="G790" t="s">
        <v>20</v>
      </c>
      <c r="H790">
        <v>28521</v>
      </c>
      <c r="I790">
        <v>17</v>
      </c>
      <c r="J790">
        <v>0</v>
      </c>
      <c r="K790" t="s">
        <v>29</v>
      </c>
      <c r="L790" t="s">
        <v>45</v>
      </c>
      <c r="M790">
        <v>11</v>
      </c>
      <c r="N790" t="s">
        <v>21</v>
      </c>
      <c r="O790">
        <v>2</v>
      </c>
    </row>
    <row r="791" spans="1:15" x14ac:dyDescent="0.3">
      <c r="A791" t="s">
        <v>829</v>
      </c>
      <c r="B791">
        <v>57</v>
      </c>
      <c r="C791" t="s">
        <v>24</v>
      </c>
      <c r="D791" t="s">
        <v>35</v>
      </c>
      <c r="E791" t="s">
        <v>41</v>
      </c>
      <c r="F791" t="s">
        <v>38</v>
      </c>
      <c r="G791" t="s">
        <v>20</v>
      </c>
      <c r="H791">
        <v>70017</v>
      </c>
      <c r="I791">
        <v>11</v>
      </c>
      <c r="J791">
        <v>8</v>
      </c>
      <c r="K791" t="s">
        <v>21</v>
      </c>
      <c r="L791" t="s">
        <v>47</v>
      </c>
      <c r="M791">
        <v>42</v>
      </c>
      <c r="N791" t="s">
        <v>21</v>
      </c>
      <c r="O791">
        <v>5</v>
      </c>
    </row>
    <row r="792" spans="1:15" x14ac:dyDescent="0.3">
      <c r="A792" t="s">
        <v>830</v>
      </c>
      <c r="B792">
        <v>53</v>
      </c>
      <c r="C792" t="s">
        <v>24</v>
      </c>
      <c r="D792" t="s">
        <v>44</v>
      </c>
      <c r="E792" t="s">
        <v>41</v>
      </c>
      <c r="F792" t="s">
        <v>38</v>
      </c>
      <c r="G792" t="s">
        <v>20</v>
      </c>
      <c r="H792">
        <v>53541</v>
      </c>
      <c r="I792">
        <v>12</v>
      </c>
      <c r="J792">
        <v>9</v>
      </c>
      <c r="K792" t="s">
        <v>21</v>
      </c>
      <c r="L792" t="s">
        <v>30</v>
      </c>
      <c r="M792">
        <v>41</v>
      </c>
      <c r="N792" t="s">
        <v>29</v>
      </c>
      <c r="O792">
        <v>2</v>
      </c>
    </row>
    <row r="793" spans="1:15" x14ac:dyDescent="0.3">
      <c r="A793" t="s">
        <v>831</v>
      </c>
      <c r="B793">
        <v>42</v>
      </c>
      <c r="C793" t="s">
        <v>16</v>
      </c>
      <c r="D793" t="s">
        <v>32</v>
      </c>
      <c r="E793" t="s">
        <v>41</v>
      </c>
      <c r="F793" t="s">
        <v>19</v>
      </c>
      <c r="G793" t="s">
        <v>20</v>
      </c>
      <c r="H793">
        <v>49063</v>
      </c>
      <c r="I793">
        <v>8</v>
      </c>
      <c r="J793">
        <v>6</v>
      </c>
      <c r="K793" t="s">
        <v>21</v>
      </c>
      <c r="L793" t="s">
        <v>47</v>
      </c>
      <c r="M793">
        <v>72</v>
      </c>
      <c r="N793" t="s">
        <v>21</v>
      </c>
      <c r="O793">
        <v>2</v>
      </c>
    </row>
    <row r="794" spans="1:15" x14ac:dyDescent="0.3">
      <c r="A794" t="s">
        <v>832</v>
      </c>
      <c r="B794">
        <v>41</v>
      </c>
      <c r="C794" t="s">
        <v>24</v>
      </c>
      <c r="D794" t="s">
        <v>40</v>
      </c>
      <c r="E794" t="s">
        <v>33</v>
      </c>
      <c r="F794" t="s">
        <v>27</v>
      </c>
      <c r="G794" t="s">
        <v>28</v>
      </c>
      <c r="H794">
        <v>90268</v>
      </c>
      <c r="I794">
        <v>1</v>
      </c>
      <c r="J794">
        <v>3</v>
      </c>
      <c r="K794" t="s">
        <v>21</v>
      </c>
      <c r="L794" t="s">
        <v>47</v>
      </c>
      <c r="M794">
        <v>46</v>
      </c>
      <c r="N794" t="s">
        <v>29</v>
      </c>
      <c r="O794">
        <v>2</v>
      </c>
    </row>
    <row r="795" spans="1:15" x14ac:dyDescent="0.3">
      <c r="A795" t="s">
        <v>833</v>
      </c>
      <c r="B795">
        <v>26</v>
      </c>
      <c r="C795" t="s">
        <v>16</v>
      </c>
      <c r="D795" t="s">
        <v>25</v>
      </c>
      <c r="E795" t="s">
        <v>26</v>
      </c>
      <c r="F795" t="s">
        <v>19</v>
      </c>
      <c r="G795" t="s">
        <v>28</v>
      </c>
      <c r="H795">
        <v>84952</v>
      </c>
      <c r="I795">
        <v>4</v>
      </c>
      <c r="J795">
        <v>2</v>
      </c>
      <c r="K795" t="s">
        <v>21</v>
      </c>
      <c r="L795" t="s">
        <v>30</v>
      </c>
      <c r="M795">
        <v>90</v>
      </c>
      <c r="N795" t="s">
        <v>21</v>
      </c>
      <c r="O795">
        <v>3</v>
      </c>
    </row>
    <row r="796" spans="1:15" x14ac:dyDescent="0.3">
      <c r="A796" t="s">
        <v>834</v>
      </c>
      <c r="B796">
        <v>26</v>
      </c>
      <c r="C796" t="s">
        <v>16</v>
      </c>
      <c r="D796" t="s">
        <v>25</v>
      </c>
      <c r="E796" t="s">
        <v>18</v>
      </c>
      <c r="F796" t="s">
        <v>36</v>
      </c>
      <c r="G796" t="s">
        <v>20</v>
      </c>
      <c r="H796">
        <v>113054</v>
      </c>
      <c r="I796">
        <v>12</v>
      </c>
      <c r="J796">
        <v>9</v>
      </c>
      <c r="K796" t="s">
        <v>29</v>
      </c>
      <c r="L796" t="s">
        <v>45</v>
      </c>
      <c r="M796">
        <v>9</v>
      </c>
      <c r="N796" t="s">
        <v>29</v>
      </c>
      <c r="O796">
        <v>4</v>
      </c>
    </row>
    <row r="797" spans="1:15" x14ac:dyDescent="0.3">
      <c r="A797" t="s">
        <v>835</v>
      </c>
      <c r="B797">
        <v>24</v>
      </c>
      <c r="C797" t="s">
        <v>16</v>
      </c>
      <c r="D797" t="s">
        <v>25</v>
      </c>
      <c r="E797" t="s">
        <v>50</v>
      </c>
      <c r="F797" t="s">
        <v>27</v>
      </c>
      <c r="G797" t="s">
        <v>28</v>
      </c>
      <c r="H797">
        <v>59563</v>
      </c>
      <c r="I797">
        <v>15</v>
      </c>
      <c r="J797">
        <v>5</v>
      </c>
      <c r="K797" t="s">
        <v>29</v>
      </c>
      <c r="L797" t="s">
        <v>47</v>
      </c>
      <c r="M797">
        <v>68</v>
      </c>
      <c r="N797" t="s">
        <v>21</v>
      </c>
      <c r="O797">
        <v>1</v>
      </c>
    </row>
    <row r="798" spans="1:15" x14ac:dyDescent="0.3">
      <c r="A798" t="s">
        <v>836</v>
      </c>
      <c r="B798">
        <v>50</v>
      </c>
      <c r="C798" t="s">
        <v>16</v>
      </c>
      <c r="D798" t="s">
        <v>32</v>
      </c>
      <c r="E798" t="s">
        <v>26</v>
      </c>
      <c r="F798" t="s">
        <v>36</v>
      </c>
      <c r="G798" t="s">
        <v>20</v>
      </c>
      <c r="H798">
        <v>59752</v>
      </c>
      <c r="I798">
        <v>15</v>
      </c>
      <c r="J798">
        <v>0</v>
      </c>
      <c r="K798" t="s">
        <v>29</v>
      </c>
      <c r="L798" t="s">
        <v>30</v>
      </c>
      <c r="M798">
        <v>54</v>
      </c>
      <c r="N798" t="s">
        <v>29</v>
      </c>
      <c r="O798">
        <v>4</v>
      </c>
    </row>
    <row r="799" spans="1:15" x14ac:dyDescent="0.3">
      <c r="A799" t="s">
        <v>837</v>
      </c>
      <c r="B799">
        <v>31</v>
      </c>
      <c r="C799" t="s">
        <v>24</v>
      </c>
      <c r="D799" t="s">
        <v>25</v>
      </c>
      <c r="E799" t="s">
        <v>33</v>
      </c>
      <c r="F799" t="s">
        <v>19</v>
      </c>
      <c r="G799" t="s">
        <v>28</v>
      </c>
      <c r="H799">
        <v>115233</v>
      </c>
      <c r="I799">
        <v>2</v>
      </c>
      <c r="J799">
        <v>2</v>
      </c>
      <c r="K799" t="s">
        <v>29</v>
      </c>
      <c r="L799" t="s">
        <v>45</v>
      </c>
      <c r="M799">
        <v>91</v>
      </c>
      <c r="N799" t="s">
        <v>21</v>
      </c>
      <c r="O799">
        <v>5</v>
      </c>
    </row>
    <row r="800" spans="1:15" x14ac:dyDescent="0.3">
      <c r="A800" t="s">
        <v>838</v>
      </c>
      <c r="B800">
        <v>50</v>
      </c>
      <c r="C800" t="s">
        <v>16</v>
      </c>
      <c r="D800" t="s">
        <v>17</v>
      </c>
      <c r="E800" t="s">
        <v>26</v>
      </c>
      <c r="F800" t="s">
        <v>27</v>
      </c>
      <c r="G800" t="s">
        <v>28</v>
      </c>
      <c r="H800">
        <v>22567</v>
      </c>
      <c r="I800">
        <v>3</v>
      </c>
      <c r="J800">
        <v>1</v>
      </c>
      <c r="K800" t="s">
        <v>21</v>
      </c>
      <c r="L800" t="s">
        <v>47</v>
      </c>
      <c r="M800">
        <v>19</v>
      </c>
      <c r="N800" t="s">
        <v>29</v>
      </c>
      <c r="O800">
        <v>3</v>
      </c>
    </row>
    <row r="801" spans="1:15" x14ac:dyDescent="0.3">
      <c r="A801" t="s">
        <v>839</v>
      </c>
      <c r="B801">
        <v>51</v>
      </c>
      <c r="C801" t="s">
        <v>16</v>
      </c>
      <c r="D801" t="s">
        <v>35</v>
      </c>
      <c r="E801" t="s">
        <v>26</v>
      </c>
      <c r="F801" t="s">
        <v>36</v>
      </c>
      <c r="G801" t="s">
        <v>28</v>
      </c>
      <c r="H801">
        <v>36121</v>
      </c>
      <c r="I801">
        <v>10</v>
      </c>
      <c r="J801">
        <v>8</v>
      </c>
      <c r="K801" t="s">
        <v>21</v>
      </c>
      <c r="L801" t="s">
        <v>47</v>
      </c>
      <c r="M801">
        <v>99</v>
      </c>
      <c r="N801" t="s">
        <v>21</v>
      </c>
      <c r="O801">
        <v>3</v>
      </c>
    </row>
    <row r="802" spans="1:15" x14ac:dyDescent="0.3">
      <c r="A802" t="s">
        <v>840</v>
      </c>
      <c r="B802">
        <v>44</v>
      </c>
      <c r="C802" t="s">
        <v>16</v>
      </c>
      <c r="D802" t="s">
        <v>35</v>
      </c>
      <c r="E802" t="s">
        <v>33</v>
      </c>
      <c r="F802" t="s">
        <v>19</v>
      </c>
      <c r="G802" t="s">
        <v>28</v>
      </c>
      <c r="H802">
        <v>21674</v>
      </c>
      <c r="I802">
        <v>13</v>
      </c>
      <c r="J802">
        <v>2</v>
      </c>
      <c r="K802" t="s">
        <v>29</v>
      </c>
      <c r="L802" t="s">
        <v>47</v>
      </c>
      <c r="M802">
        <v>77</v>
      </c>
      <c r="N802" t="s">
        <v>21</v>
      </c>
      <c r="O802">
        <v>2</v>
      </c>
    </row>
    <row r="803" spans="1:15" x14ac:dyDescent="0.3">
      <c r="A803" t="s">
        <v>841</v>
      </c>
      <c r="B803">
        <v>29</v>
      </c>
      <c r="C803" t="s">
        <v>24</v>
      </c>
      <c r="D803" t="s">
        <v>32</v>
      </c>
      <c r="E803" t="s">
        <v>41</v>
      </c>
      <c r="F803" t="s">
        <v>19</v>
      </c>
      <c r="G803" t="s">
        <v>28</v>
      </c>
      <c r="H803">
        <v>96411</v>
      </c>
      <c r="I803">
        <v>2</v>
      </c>
      <c r="J803">
        <v>1</v>
      </c>
      <c r="K803" t="s">
        <v>29</v>
      </c>
      <c r="L803" t="s">
        <v>45</v>
      </c>
      <c r="M803">
        <v>57</v>
      </c>
      <c r="N803" t="s">
        <v>21</v>
      </c>
      <c r="O803">
        <v>2</v>
      </c>
    </row>
    <row r="804" spans="1:15" x14ac:dyDescent="0.3">
      <c r="A804" t="s">
        <v>842</v>
      </c>
      <c r="B804">
        <v>23</v>
      </c>
      <c r="C804" t="s">
        <v>24</v>
      </c>
      <c r="D804" t="s">
        <v>17</v>
      </c>
      <c r="E804" t="s">
        <v>41</v>
      </c>
      <c r="F804" t="s">
        <v>27</v>
      </c>
      <c r="G804" t="s">
        <v>28</v>
      </c>
      <c r="H804">
        <v>86275</v>
      </c>
      <c r="I804">
        <v>15</v>
      </c>
      <c r="J804">
        <v>3</v>
      </c>
      <c r="K804" t="s">
        <v>21</v>
      </c>
      <c r="L804" t="s">
        <v>47</v>
      </c>
      <c r="M804">
        <v>29</v>
      </c>
      <c r="N804" t="s">
        <v>29</v>
      </c>
      <c r="O804">
        <v>5</v>
      </c>
    </row>
    <row r="805" spans="1:15" x14ac:dyDescent="0.3">
      <c r="A805" t="s">
        <v>843</v>
      </c>
      <c r="B805">
        <v>51</v>
      </c>
      <c r="C805" t="s">
        <v>24</v>
      </c>
      <c r="D805" t="s">
        <v>44</v>
      </c>
      <c r="E805" t="s">
        <v>18</v>
      </c>
      <c r="F805" t="s">
        <v>19</v>
      </c>
      <c r="G805" t="s">
        <v>20</v>
      </c>
      <c r="H805">
        <v>87081</v>
      </c>
      <c r="I805">
        <v>14</v>
      </c>
      <c r="J805">
        <v>1</v>
      </c>
      <c r="K805" t="s">
        <v>21</v>
      </c>
      <c r="L805" t="s">
        <v>45</v>
      </c>
      <c r="M805">
        <v>93</v>
      </c>
      <c r="N805" t="s">
        <v>21</v>
      </c>
      <c r="O805">
        <v>3</v>
      </c>
    </row>
    <row r="806" spans="1:15" x14ac:dyDescent="0.3">
      <c r="A806" t="s">
        <v>844</v>
      </c>
      <c r="B806">
        <v>57</v>
      </c>
      <c r="C806" t="s">
        <v>16</v>
      </c>
      <c r="D806" t="s">
        <v>44</v>
      </c>
      <c r="E806" t="s">
        <v>18</v>
      </c>
      <c r="F806" t="s">
        <v>38</v>
      </c>
      <c r="G806" t="s">
        <v>20</v>
      </c>
      <c r="H806">
        <v>49140</v>
      </c>
      <c r="I806">
        <v>9</v>
      </c>
      <c r="J806">
        <v>0</v>
      </c>
      <c r="K806" t="s">
        <v>21</v>
      </c>
      <c r="L806" t="s">
        <v>22</v>
      </c>
      <c r="M806">
        <v>89</v>
      </c>
      <c r="N806" t="s">
        <v>21</v>
      </c>
      <c r="O806">
        <v>1</v>
      </c>
    </row>
    <row r="807" spans="1:15" x14ac:dyDescent="0.3">
      <c r="A807" t="s">
        <v>845</v>
      </c>
      <c r="B807">
        <v>56</v>
      </c>
      <c r="C807" t="s">
        <v>16</v>
      </c>
      <c r="D807" t="s">
        <v>25</v>
      </c>
      <c r="E807" t="s">
        <v>41</v>
      </c>
      <c r="F807" t="s">
        <v>36</v>
      </c>
      <c r="G807" t="s">
        <v>28</v>
      </c>
      <c r="H807">
        <v>29327</v>
      </c>
      <c r="I807">
        <v>8</v>
      </c>
      <c r="J807">
        <v>5</v>
      </c>
      <c r="K807" t="s">
        <v>29</v>
      </c>
      <c r="L807" t="s">
        <v>47</v>
      </c>
      <c r="M807">
        <v>13</v>
      </c>
      <c r="N807" t="s">
        <v>21</v>
      </c>
      <c r="O807">
        <v>4</v>
      </c>
    </row>
    <row r="808" spans="1:15" x14ac:dyDescent="0.3">
      <c r="A808" t="s">
        <v>846</v>
      </c>
      <c r="B808">
        <v>44</v>
      </c>
      <c r="C808" t="s">
        <v>24</v>
      </c>
      <c r="D808" t="s">
        <v>40</v>
      </c>
      <c r="E808" t="s">
        <v>50</v>
      </c>
      <c r="F808" t="s">
        <v>36</v>
      </c>
      <c r="G808" t="s">
        <v>20</v>
      </c>
      <c r="H808">
        <v>90663</v>
      </c>
      <c r="I808">
        <v>10</v>
      </c>
      <c r="J808">
        <v>9</v>
      </c>
      <c r="K808" t="s">
        <v>21</v>
      </c>
      <c r="L808" t="s">
        <v>22</v>
      </c>
      <c r="M808">
        <v>42</v>
      </c>
      <c r="N808" t="s">
        <v>29</v>
      </c>
      <c r="O808">
        <v>3</v>
      </c>
    </row>
    <row r="809" spans="1:15" x14ac:dyDescent="0.3">
      <c r="A809" t="s">
        <v>847</v>
      </c>
      <c r="B809">
        <v>51</v>
      </c>
      <c r="C809" t="s">
        <v>16</v>
      </c>
      <c r="D809" t="s">
        <v>44</v>
      </c>
      <c r="E809" t="s">
        <v>26</v>
      </c>
      <c r="F809" t="s">
        <v>19</v>
      </c>
      <c r="G809" t="s">
        <v>28</v>
      </c>
      <c r="H809">
        <v>43331</v>
      </c>
      <c r="I809">
        <v>15</v>
      </c>
      <c r="J809">
        <v>7</v>
      </c>
      <c r="K809" t="s">
        <v>21</v>
      </c>
      <c r="L809" t="s">
        <v>30</v>
      </c>
      <c r="M809">
        <v>26</v>
      </c>
      <c r="N809" t="s">
        <v>21</v>
      </c>
      <c r="O809">
        <v>1</v>
      </c>
    </row>
    <row r="810" spans="1:15" x14ac:dyDescent="0.3">
      <c r="A810" t="s">
        <v>848</v>
      </c>
      <c r="B810">
        <v>26</v>
      </c>
      <c r="C810" t="s">
        <v>24</v>
      </c>
      <c r="D810" t="s">
        <v>40</v>
      </c>
      <c r="E810" t="s">
        <v>50</v>
      </c>
      <c r="F810" t="s">
        <v>19</v>
      </c>
      <c r="G810" t="s">
        <v>20</v>
      </c>
      <c r="H810">
        <v>43004</v>
      </c>
      <c r="I810">
        <v>9</v>
      </c>
      <c r="J810">
        <v>9</v>
      </c>
      <c r="K810" t="s">
        <v>29</v>
      </c>
      <c r="L810" t="s">
        <v>47</v>
      </c>
      <c r="M810">
        <v>91</v>
      </c>
      <c r="N810" t="s">
        <v>29</v>
      </c>
      <c r="O810">
        <v>1</v>
      </c>
    </row>
    <row r="811" spans="1:15" x14ac:dyDescent="0.3">
      <c r="A811" t="s">
        <v>849</v>
      </c>
      <c r="B811">
        <v>22</v>
      </c>
      <c r="C811" t="s">
        <v>24</v>
      </c>
      <c r="D811" t="s">
        <v>35</v>
      </c>
      <c r="E811" t="s">
        <v>26</v>
      </c>
      <c r="F811" t="s">
        <v>38</v>
      </c>
      <c r="G811" t="s">
        <v>28</v>
      </c>
      <c r="H811">
        <v>30492</v>
      </c>
      <c r="I811">
        <v>16</v>
      </c>
      <c r="J811">
        <v>9</v>
      </c>
      <c r="K811" t="s">
        <v>29</v>
      </c>
      <c r="L811" t="s">
        <v>30</v>
      </c>
      <c r="M811">
        <v>53</v>
      </c>
      <c r="N811" t="s">
        <v>21</v>
      </c>
      <c r="O811">
        <v>4</v>
      </c>
    </row>
    <row r="812" spans="1:15" x14ac:dyDescent="0.3">
      <c r="A812" t="s">
        <v>850</v>
      </c>
      <c r="B812">
        <v>40</v>
      </c>
      <c r="C812" t="s">
        <v>16</v>
      </c>
      <c r="D812" t="s">
        <v>40</v>
      </c>
      <c r="E812" t="s">
        <v>41</v>
      </c>
      <c r="F812" t="s">
        <v>27</v>
      </c>
      <c r="G812" t="s">
        <v>20</v>
      </c>
      <c r="H812">
        <v>74797</v>
      </c>
      <c r="I812">
        <v>18</v>
      </c>
      <c r="J812">
        <v>1</v>
      </c>
      <c r="K812" t="s">
        <v>29</v>
      </c>
      <c r="L812" t="s">
        <v>30</v>
      </c>
      <c r="M812">
        <v>72</v>
      </c>
      <c r="N812" t="s">
        <v>29</v>
      </c>
      <c r="O812">
        <v>1</v>
      </c>
    </row>
    <row r="813" spans="1:15" x14ac:dyDescent="0.3">
      <c r="A813" t="s">
        <v>851</v>
      </c>
      <c r="B813">
        <v>48</v>
      </c>
      <c r="C813" t="s">
        <v>16</v>
      </c>
      <c r="D813" t="s">
        <v>35</v>
      </c>
      <c r="E813" t="s">
        <v>18</v>
      </c>
      <c r="F813" t="s">
        <v>19</v>
      </c>
      <c r="G813" t="s">
        <v>28</v>
      </c>
      <c r="H813">
        <v>78095</v>
      </c>
      <c r="I813">
        <v>1</v>
      </c>
      <c r="J813">
        <v>8</v>
      </c>
      <c r="K813" t="s">
        <v>21</v>
      </c>
      <c r="L813" t="s">
        <v>30</v>
      </c>
      <c r="M813">
        <v>97</v>
      </c>
      <c r="N813" t="s">
        <v>29</v>
      </c>
      <c r="O813">
        <v>5</v>
      </c>
    </row>
    <row r="814" spans="1:15" x14ac:dyDescent="0.3">
      <c r="A814" t="s">
        <v>852</v>
      </c>
      <c r="B814">
        <v>31</v>
      </c>
      <c r="C814" t="s">
        <v>16</v>
      </c>
      <c r="D814" t="s">
        <v>17</v>
      </c>
      <c r="E814" t="s">
        <v>18</v>
      </c>
      <c r="F814" t="s">
        <v>19</v>
      </c>
      <c r="G814" t="s">
        <v>20</v>
      </c>
      <c r="H814">
        <v>33749</v>
      </c>
      <c r="I814">
        <v>1</v>
      </c>
      <c r="J814">
        <v>2</v>
      </c>
      <c r="K814" t="s">
        <v>21</v>
      </c>
      <c r="L814" t="s">
        <v>22</v>
      </c>
      <c r="M814">
        <v>19</v>
      </c>
      <c r="N814" t="s">
        <v>21</v>
      </c>
      <c r="O814">
        <v>1</v>
      </c>
    </row>
    <row r="815" spans="1:15" x14ac:dyDescent="0.3">
      <c r="A815" t="s">
        <v>853</v>
      </c>
      <c r="B815">
        <v>24</v>
      </c>
      <c r="C815" t="s">
        <v>16</v>
      </c>
      <c r="D815" t="s">
        <v>17</v>
      </c>
      <c r="E815" t="s">
        <v>50</v>
      </c>
      <c r="F815" t="s">
        <v>19</v>
      </c>
      <c r="G815" t="s">
        <v>28</v>
      </c>
      <c r="H815">
        <v>83217</v>
      </c>
      <c r="I815">
        <v>5</v>
      </c>
      <c r="J815">
        <v>7</v>
      </c>
      <c r="K815" t="s">
        <v>29</v>
      </c>
      <c r="L815" t="s">
        <v>45</v>
      </c>
      <c r="M815">
        <v>69</v>
      </c>
      <c r="N815" t="s">
        <v>29</v>
      </c>
      <c r="O815">
        <v>5</v>
      </c>
    </row>
    <row r="816" spans="1:15" x14ac:dyDescent="0.3">
      <c r="A816" t="s">
        <v>854</v>
      </c>
      <c r="B816">
        <v>35</v>
      </c>
      <c r="C816" t="s">
        <v>24</v>
      </c>
      <c r="D816" t="s">
        <v>32</v>
      </c>
      <c r="E816" t="s">
        <v>18</v>
      </c>
      <c r="F816" t="s">
        <v>19</v>
      </c>
      <c r="G816" t="s">
        <v>20</v>
      </c>
      <c r="H816">
        <v>109044</v>
      </c>
      <c r="I816">
        <v>18</v>
      </c>
      <c r="J816">
        <v>7</v>
      </c>
      <c r="K816" t="s">
        <v>21</v>
      </c>
      <c r="L816" t="s">
        <v>22</v>
      </c>
      <c r="M816">
        <v>58</v>
      </c>
      <c r="N816" t="s">
        <v>29</v>
      </c>
      <c r="O816">
        <v>1</v>
      </c>
    </row>
    <row r="817" spans="1:15" x14ac:dyDescent="0.3">
      <c r="A817" t="s">
        <v>855</v>
      </c>
      <c r="B817">
        <v>26</v>
      </c>
      <c r="C817" t="s">
        <v>24</v>
      </c>
      <c r="D817" t="s">
        <v>32</v>
      </c>
      <c r="E817" t="s">
        <v>41</v>
      </c>
      <c r="F817" t="s">
        <v>36</v>
      </c>
      <c r="G817" t="s">
        <v>28</v>
      </c>
      <c r="H817">
        <v>29045</v>
      </c>
      <c r="I817">
        <v>7</v>
      </c>
      <c r="J817">
        <v>2</v>
      </c>
      <c r="K817" t="s">
        <v>21</v>
      </c>
      <c r="L817" t="s">
        <v>22</v>
      </c>
      <c r="M817">
        <v>34</v>
      </c>
      <c r="N817" t="s">
        <v>21</v>
      </c>
      <c r="O817">
        <v>2</v>
      </c>
    </row>
    <row r="818" spans="1:15" x14ac:dyDescent="0.3">
      <c r="A818" t="s">
        <v>856</v>
      </c>
      <c r="B818">
        <v>50</v>
      </c>
      <c r="C818" t="s">
        <v>24</v>
      </c>
      <c r="D818" t="s">
        <v>25</v>
      </c>
      <c r="E818" t="s">
        <v>50</v>
      </c>
      <c r="F818" t="s">
        <v>19</v>
      </c>
      <c r="G818" t="s">
        <v>28</v>
      </c>
      <c r="H818">
        <v>40116</v>
      </c>
      <c r="I818">
        <v>2</v>
      </c>
      <c r="J818">
        <v>2</v>
      </c>
      <c r="K818" t="s">
        <v>21</v>
      </c>
      <c r="L818" t="s">
        <v>30</v>
      </c>
      <c r="M818">
        <v>97</v>
      </c>
      <c r="N818" t="s">
        <v>29</v>
      </c>
      <c r="O818">
        <v>1</v>
      </c>
    </row>
    <row r="819" spans="1:15" x14ac:dyDescent="0.3">
      <c r="A819" t="s">
        <v>857</v>
      </c>
      <c r="B819">
        <v>58</v>
      </c>
      <c r="C819" t="s">
        <v>24</v>
      </c>
      <c r="D819" t="s">
        <v>44</v>
      </c>
      <c r="E819" t="s">
        <v>26</v>
      </c>
      <c r="F819" t="s">
        <v>36</v>
      </c>
      <c r="G819" t="s">
        <v>28</v>
      </c>
      <c r="H819">
        <v>38667</v>
      </c>
      <c r="I819">
        <v>13</v>
      </c>
      <c r="J819">
        <v>5</v>
      </c>
      <c r="K819" t="s">
        <v>29</v>
      </c>
      <c r="L819" t="s">
        <v>47</v>
      </c>
      <c r="M819">
        <v>24</v>
      </c>
      <c r="N819" t="s">
        <v>29</v>
      </c>
      <c r="O819">
        <v>5</v>
      </c>
    </row>
    <row r="820" spans="1:15" x14ac:dyDescent="0.3">
      <c r="A820" t="s">
        <v>858</v>
      </c>
      <c r="B820">
        <v>22</v>
      </c>
      <c r="C820" t="s">
        <v>24</v>
      </c>
      <c r="D820" t="s">
        <v>25</v>
      </c>
      <c r="E820" t="s">
        <v>18</v>
      </c>
      <c r="F820" t="s">
        <v>19</v>
      </c>
      <c r="G820" t="s">
        <v>20</v>
      </c>
      <c r="H820">
        <v>95057</v>
      </c>
      <c r="I820">
        <v>15</v>
      </c>
      <c r="J820">
        <v>0</v>
      </c>
      <c r="K820" t="s">
        <v>29</v>
      </c>
      <c r="L820" t="s">
        <v>45</v>
      </c>
      <c r="M820">
        <v>37</v>
      </c>
      <c r="N820" t="s">
        <v>29</v>
      </c>
      <c r="O820">
        <v>1</v>
      </c>
    </row>
    <row r="821" spans="1:15" x14ac:dyDescent="0.3">
      <c r="A821" t="s">
        <v>859</v>
      </c>
      <c r="B821">
        <v>35</v>
      </c>
      <c r="C821" t="s">
        <v>16</v>
      </c>
      <c r="D821" t="s">
        <v>35</v>
      </c>
      <c r="E821" t="s">
        <v>33</v>
      </c>
      <c r="F821" t="s">
        <v>27</v>
      </c>
      <c r="G821" t="s">
        <v>20</v>
      </c>
      <c r="H821">
        <v>94205</v>
      </c>
      <c r="I821">
        <v>0</v>
      </c>
      <c r="J821">
        <v>3</v>
      </c>
      <c r="K821" t="s">
        <v>21</v>
      </c>
      <c r="L821" t="s">
        <v>30</v>
      </c>
      <c r="M821">
        <v>90</v>
      </c>
      <c r="N821" t="s">
        <v>29</v>
      </c>
      <c r="O821">
        <v>1</v>
      </c>
    </row>
    <row r="822" spans="1:15" x14ac:dyDescent="0.3">
      <c r="A822" t="s">
        <v>860</v>
      </c>
      <c r="B822">
        <v>31</v>
      </c>
      <c r="C822" t="s">
        <v>24</v>
      </c>
      <c r="D822" t="s">
        <v>25</v>
      </c>
      <c r="E822" t="s">
        <v>18</v>
      </c>
      <c r="F822" t="s">
        <v>38</v>
      </c>
      <c r="G822" t="s">
        <v>20</v>
      </c>
      <c r="H822">
        <v>47302</v>
      </c>
      <c r="I822">
        <v>2</v>
      </c>
      <c r="J822">
        <v>0</v>
      </c>
      <c r="K822" t="s">
        <v>21</v>
      </c>
      <c r="L822" t="s">
        <v>45</v>
      </c>
      <c r="M822">
        <v>81</v>
      </c>
      <c r="N822" t="s">
        <v>21</v>
      </c>
      <c r="O822">
        <v>1</v>
      </c>
    </row>
    <row r="823" spans="1:15" x14ac:dyDescent="0.3">
      <c r="A823" t="s">
        <v>861</v>
      </c>
      <c r="B823">
        <v>28</v>
      </c>
      <c r="C823" t="s">
        <v>24</v>
      </c>
      <c r="D823" t="s">
        <v>40</v>
      </c>
      <c r="E823" t="s">
        <v>26</v>
      </c>
      <c r="F823" t="s">
        <v>27</v>
      </c>
      <c r="G823" t="s">
        <v>28</v>
      </c>
      <c r="H823">
        <v>31283</v>
      </c>
      <c r="I823">
        <v>17</v>
      </c>
      <c r="J823">
        <v>2</v>
      </c>
      <c r="K823" t="s">
        <v>21</v>
      </c>
      <c r="L823" t="s">
        <v>22</v>
      </c>
      <c r="M823">
        <v>11</v>
      </c>
      <c r="N823" t="s">
        <v>29</v>
      </c>
      <c r="O823">
        <v>5</v>
      </c>
    </row>
    <row r="824" spans="1:15" x14ac:dyDescent="0.3">
      <c r="A824" t="s">
        <v>862</v>
      </c>
      <c r="B824">
        <v>46</v>
      </c>
      <c r="C824" t="s">
        <v>24</v>
      </c>
      <c r="D824" t="s">
        <v>35</v>
      </c>
      <c r="E824" t="s">
        <v>50</v>
      </c>
      <c r="F824" t="s">
        <v>19</v>
      </c>
      <c r="G824" t="s">
        <v>20</v>
      </c>
      <c r="H824">
        <v>50935</v>
      </c>
      <c r="I824">
        <v>8</v>
      </c>
      <c r="J824">
        <v>8</v>
      </c>
      <c r="K824" t="s">
        <v>21</v>
      </c>
      <c r="L824" t="s">
        <v>45</v>
      </c>
      <c r="M824">
        <v>12</v>
      </c>
      <c r="N824" t="s">
        <v>29</v>
      </c>
      <c r="O824">
        <v>1</v>
      </c>
    </row>
    <row r="825" spans="1:15" x14ac:dyDescent="0.3">
      <c r="A825" t="s">
        <v>863</v>
      </c>
      <c r="B825">
        <v>25</v>
      </c>
      <c r="C825" t="s">
        <v>16</v>
      </c>
      <c r="D825" t="s">
        <v>32</v>
      </c>
      <c r="E825" t="s">
        <v>26</v>
      </c>
      <c r="F825" t="s">
        <v>19</v>
      </c>
      <c r="G825" t="s">
        <v>28</v>
      </c>
      <c r="H825">
        <v>92534</v>
      </c>
      <c r="I825">
        <v>5</v>
      </c>
      <c r="J825">
        <v>4</v>
      </c>
      <c r="K825" t="s">
        <v>29</v>
      </c>
      <c r="L825" t="s">
        <v>45</v>
      </c>
      <c r="M825">
        <v>32</v>
      </c>
      <c r="N825" t="s">
        <v>21</v>
      </c>
      <c r="O825">
        <v>4</v>
      </c>
    </row>
    <row r="826" spans="1:15" x14ac:dyDescent="0.3">
      <c r="A826" t="s">
        <v>864</v>
      </c>
      <c r="B826">
        <v>26</v>
      </c>
      <c r="C826" t="s">
        <v>16</v>
      </c>
      <c r="D826" t="s">
        <v>17</v>
      </c>
      <c r="E826" t="s">
        <v>33</v>
      </c>
      <c r="F826" t="s">
        <v>19</v>
      </c>
      <c r="G826" t="s">
        <v>20</v>
      </c>
      <c r="H826">
        <v>114342</v>
      </c>
      <c r="I826">
        <v>0</v>
      </c>
      <c r="J826">
        <v>4</v>
      </c>
      <c r="K826" t="s">
        <v>29</v>
      </c>
      <c r="L826" t="s">
        <v>47</v>
      </c>
      <c r="M826">
        <v>49</v>
      </c>
      <c r="N826" t="s">
        <v>21</v>
      </c>
      <c r="O826">
        <v>4</v>
      </c>
    </row>
    <row r="827" spans="1:15" x14ac:dyDescent="0.3">
      <c r="A827" t="s">
        <v>865</v>
      </c>
      <c r="B827">
        <v>46</v>
      </c>
      <c r="C827" t="s">
        <v>16</v>
      </c>
      <c r="D827" t="s">
        <v>32</v>
      </c>
      <c r="E827" t="s">
        <v>41</v>
      </c>
      <c r="F827" t="s">
        <v>27</v>
      </c>
      <c r="G827" t="s">
        <v>20</v>
      </c>
      <c r="H827">
        <v>51624</v>
      </c>
      <c r="I827">
        <v>9</v>
      </c>
      <c r="J827">
        <v>3</v>
      </c>
      <c r="K827" t="s">
        <v>21</v>
      </c>
      <c r="L827" t="s">
        <v>30</v>
      </c>
      <c r="M827">
        <v>77</v>
      </c>
      <c r="N827" t="s">
        <v>29</v>
      </c>
      <c r="O827">
        <v>5</v>
      </c>
    </row>
    <row r="828" spans="1:15" x14ac:dyDescent="0.3">
      <c r="A828" t="s">
        <v>866</v>
      </c>
      <c r="B828">
        <v>24</v>
      </c>
      <c r="C828" t="s">
        <v>16</v>
      </c>
      <c r="D828" t="s">
        <v>44</v>
      </c>
      <c r="E828" t="s">
        <v>18</v>
      </c>
      <c r="F828" t="s">
        <v>19</v>
      </c>
      <c r="G828" t="s">
        <v>20</v>
      </c>
      <c r="H828">
        <v>33440</v>
      </c>
      <c r="I828">
        <v>5</v>
      </c>
      <c r="J828">
        <v>2</v>
      </c>
      <c r="K828" t="s">
        <v>21</v>
      </c>
      <c r="L828" t="s">
        <v>45</v>
      </c>
      <c r="M828">
        <v>93</v>
      </c>
      <c r="N828" t="s">
        <v>21</v>
      </c>
      <c r="O828">
        <v>2</v>
      </c>
    </row>
    <row r="829" spans="1:15" x14ac:dyDescent="0.3">
      <c r="A829" t="s">
        <v>867</v>
      </c>
      <c r="B829">
        <v>39</v>
      </c>
      <c r="C829" t="s">
        <v>24</v>
      </c>
      <c r="D829" t="s">
        <v>35</v>
      </c>
      <c r="E829" t="s">
        <v>50</v>
      </c>
      <c r="F829" t="s">
        <v>27</v>
      </c>
      <c r="G829" t="s">
        <v>20</v>
      </c>
      <c r="H829">
        <v>66501</v>
      </c>
      <c r="I829">
        <v>11</v>
      </c>
      <c r="J829">
        <v>4</v>
      </c>
      <c r="K829" t="s">
        <v>29</v>
      </c>
      <c r="L829" t="s">
        <v>45</v>
      </c>
      <c r="M829">
        <v>84</v>
      </c>
      <c r="N829" t="s">
        <v>21</v>
      </c>
      <c r="O829">
        <v>4</v>
      </c>
    </row>
    <row r="830" spans="1:15" x14ac:dyDescent="0.3">
      <c r="A830" t="s">
        <v>868</v>
      </c>
      <c r="B830">
        <v>40</v>
      </c>
      <c r="C830" t="s">
        <v>24</v>
      </c>
      <c r="D830" t="s">
        <v>35</v>
      </c>
      <c r="E830" t="s">
        <v>41</v>
      </c>
      <c r="F830" t="s">
        <v>36</v>
      </c>
      <c r="G830" t="s">
        <v>28</v>
      </c>
      <c r="H830">
        <v>107333</v>
      </c>
      <c r="I830">
        <v>3</v>
      </c>
      <c r="J830">
        <v>3</v>
      </c>
      <c r="K830" t="s">
        <v>21</v>
      </c>
      <c r="L830" t="s">
        <v>22</v>
      </c>
      <c r="M830">
        <v>78</v>
      </c>
      <c r="N830" t="s">
        <v>21</v>
      </c>
      <c r="O830">
        <v>3</v>
      </c>
    </row>
    <row r="831" spans="1:15" x14ac:dyDescent="0.3">
      <c r="A831" t="s">
        <v>869</v>
      </c>
      <c r="B831">
        <v>53</v>
      </c>
      <c r="C831" t="s">
        <v>16</v>
      </c>
      <c r="D831" t="s">
        <v>40</v>
      </c>
      <c r="E831" t="s">
        <v>26</v>
      </c>
      <c r="F831" t="s">
        <v>38</v>
      </c>
      <c r="G831" t="s">
        <v>20</v>
      </c>
      <c r="H831">
        <v>21269</v>
      </c>
      <c r="I831">
        <v>12</v>
      </c>
      <c r="J831">
        <v>7</v>
      </c>
      <c r="K831" t="s">
        <v>29</v>
      </c>
      <c r="L831" t="s">
        <v>22</v>
      </c>
      <c r="M831">
        <v>15</v>
      </c>
      <c r="N831" t="s">
        <v>21</v>
      </c>
      <c r="O831">
        <v>4</v>
      </c>
    </row>
    <row r="832" spans="1:15" x14ac:dyDescent="0.3">
      <c r="A832" t="s">
        <v>870</v>
      </c>
      <c r="B832">
        <v>40</v>
      </c>
      <c r="C832" t="s">
        <v>16</v>
      </c>
      <c r="D832" t="s">
        <v>44</v>
      </c>
      <c r="E832" t="s">
        <v>50</v>
      </c>
      <c r="F832" t="s">
        <v>38</v>
      </c>
      <c r="G832" t="s">
        <v>20</v>
      </c>
      <c r="H832">
        <v>27868</v>
      </c>
      <c r="I832">
        <v>16</v>
      </c>
      <c r="J832">
        <v>3</v>
      </c>
      <c r="K832" t="s">
        <v>21</v>
      </c>
      <c r="L832" t="s">
        <v>45</v>
      </c>
      <c r="M832">
        <v>35</v>
      </c>
      <c r="N832" t="s">
        <v>21</v>
      </c>
      <c r="O832">
        <v>3</v>
      </c>
    </row>
    <row r="833" spans="1:15" x14ac:dyDescent="0.3">
      <c r="A833" t="s">
        <v>871</v>
      </c>
      <c r="B833">
        <v>32</v>
      </c>
      <c r="C833" t="s">
        <v>24</v>
      </c>
      <c r="D833" t="s">
        <v>17</v>
      </c>
      <c r="E833" t="s">
        <v>41</v>
      </c>
      <c r="F833" t="s">
        <v>27</v>
      </c>
      <c r="G833" t="s">
        <v>28</v>
      </c>
      <c r="H833">
        <v>50251</v>
      </c>
      <c r="I833">
        <v>7</v>
      </c>
      <c r="J833">
        <v>7</v>
      </c>
      <c r="K833" t="s">
        <v>29</v>
      </c>
      <c r="L833" t="s">
        <v>30</v>
      </c>
      <c r="M833">
        <v>16</v>
      </c>
      <c r="N833" t="s">
        <v>21</v>
      </c>
      <c r="O833">
        <v>5</v>
      </c>
    </row>
    <row r="834" spans="1:15" x14ac:dyDescent="0.3">
      <c r="A834" t="s">
        <v>872</v>
      </c>
      <c r="B834">
        <v>21</v>
      </c>
      <c r="C834" t="s">
        <v>24</v>
      </c>
      <c r="D834" t="s">
        <v>35</v>
      </c>
      <c r="E834" t="s">
        <v>50</v>
      </c>
      <c r="F834" t="s">
        <v>36</v>
      </c>
      <c r="G834" t="s">
        <v>28</v>
      </c>
      <c r="H834">
        <v>97909</v>
      </c>
      <c r="I834">
        <v>19</v>
      </c>
      <c r="J834">
        <v>5</v>
      </c>
      <c r="K834" t="s">
        <v>21</v>
      </c>
      <c r="L834" t="s">
        <v>45</v>
      </c>
      <c r="M834">
        <v>99</v>
      </c>
      <c r="N834" t="s">
        <v>21</v>
      </c>
      <c r="O834">
        <v>2</v>
      </c>
    </row>
    <row r="835" spans="1:15" x14ac:dyDescent="0.3">
      <c r="A835" t="s">
        <v>873</v>
      </c>
      <c r="B835">
        <v>46</v>
      </c>
      <c r="C835" t="s">
        <v>16</v>
      </c>
      <c r="D835" t="s">
        <v>35</v>
      </c>
      <c r="E835" t="s">
        <v>33</v>
      </c>
      <c r="F835" t="s">
        <v>27</v>
      </c>
      <c r="G835" t="s">
        <v>20</v>
      </c>
      <c r="H835">
        <v>104523</v>
      </c>
      <c r="I835">
        <v>2</v>
      </c>
      <c r="J835">
        <v>4</v>
      </c>
      <c r="K835" t="s">
        <v>21</v>
      </c>
      <c r="L835" t="s">
        <v>45</v>
      </c>
      <c r="M835">
        <v>82</v>
      </c>
      <c r="N835" t="s">
        <v>21</v>
      </c>
      <c r="O835">
        <v>3</v>
      </c>
    </row>
    <row r="836" spans="1:15" x14ac:dyDescent="0.3">
      <c r="A836" t="s">
        <v>874</v>
      </c>
      <c r="B836">
        <v>34</v>
      </c>
      <c r="C836" t="s">
        <v>16</v>
      </c>
      <c r="D836" t="s">
        <v>40</v>
      </c>
      <c r="E836" t="s">
        <v>33</v>
      </c>
      <c r="F836" t="s">
        <v>36</v>
      </c>
      <c r="G836" t="s">
        <v>20</v>
      </c>
      <c r="H836">
        <v>58729</v>
      </c>
      <c r="I836">
        <v>11</v>
      </c>
      <c r="J836">
        <v>3</v>
      </c>
      <c r="K836" t="s">
        <v>29</v>
      </c>
      <c r="L836" t="s">
        <v>47</v>
      </c>
      <c r="M836">
        <v>55</v>
      </c>
      <c r="N836" t="s">
        <v>21</v>
      </c>
      <c r="O836">
        <v>3</v>
      </c>
    </row>
    <row r="837" spans="1:15" x14ac:dyDescent="0.3">
      <c r="A837" t="s">
        <v>875</v>
      </c>
      <c r="B837">
        <v>58</v>
      </c>
      <c r="C837" t="s">
        <v>16</v>
      </c>
      <c r="D837" t="s">
        <v>25</v>
      </c>
      <c r="E837" t="s">
        <v>18</v>
      </c>
      <c r="F837" t="s">
        <v>19</v>
      </c>
      <c r="G837" t="s">
        <v>28</v>
      </c>
      <c r="H837">
        <v>35734</v>
      </c>
      <c r="I837">
        <v>6</v>
      </c>
      <c r="J837">
        <v>3</v>
      </c>
      <c r="K837" t="s">
        <v>29</v>
      </c>
      <c r="L837" t="s">
        <v>30</v>
      </c>
      <c r="M837">
        <v>48</v>
      </c>
      <c r="N837" t="s">
        <v>29</v>
      </c>
      <c r="O837">
        <v>4</v>
      </c>
    </row>
    <row r="838" spans="1:15" x14ac:dyDescent="0.3">
      <c r="A838" t="s">
        <v>876</v>
      </c>
      <c r="B838">
        <v>57</v>
      </c>
      <c r="C838" t="s">
        <v>16</v>
      </c>
      <c r="D838" t="s">
        <v>17</v>
      </c>
      <c r="E838" t="s">
        <v>18</v>
      </c>
      <c r="F838" t="s">
        <v>36</v>
      </c>
      <c r="G838" t="s">
        <v>28</v>
      </c>
      <c r="H838">
        <v>62429</v>
      </c>
      <c r="I838">
        <v>11</v>
      </c>
      <c r="J838">
        <v>3</v>
      </c>
      <c r="K838" t="s">
        <v>21</v>
      </c>
      <c r="L838" t="s">
        <v>47</v>
      </c>
      <c r="M838">
        <v>54</v>
      </c>
      <c r="N838" t="s">
        <v>29</v>
      </c>
      <c r="O838">
        <v>3</v>
      </c>
    </row>
    <row r="839" spans="1:15" x14ac:dyDescent="0.3">
      <c r="A839" t="s">
        <v>877</v>
      </c>
      <c r="B839">
        <v>31</v>
      </c>
      <c r="C839" t="s">
        <v>24</v>
      </c>
      <c r="D839" t="s">
        <v>32</v>
      </c>
      <c r="E839" t="s">
        <v>33</v>
      </c>
      <c r="F839" t="s">
        <v>36</v>
      </c>
      <c r="G839" t="s">
        <v>28</v>
      </c>
      <c r="H839">
        <v>61337</v>
      </c>
      <c r="I839">
        <v>1</v>
      </c>
      <c r="J839">
        <v>8</v>
      </c>
      <c r="K839" t="s">
        <v>21</v>
      </c>
      <c r="L839" t="s">
        <v>30</v>
      </c>
      <c r="M839">
        <v>21</v>
      </c>
      <c r="N839" t="s">
        <v>29</v>
      </c>
      <c r="O839">
        <v>5</v>
      </c>
    </row>
    <row r="840" spans="1:15" x14ac:dyDescent="0.3">
      <c r="A840" t="s">
        <v>878</v>
      </c>
      <c r="B840">
        <v>56</v>
      </c>
      <c r="C840" t="s">
        <v>24</v>
      </c>
      <c r="D840" t="s">
        <v>44</v>
      </c>
      <c r="E840" t="s">
        <v>50</v>
      </c>
      <c r="F840" t="s">
        <v>36</v>
      </c>
      <c r="G840" t="s">
        <v>20</v>
      </c>
      <c r="H840">
        <v>60325</v>
      </c>
      <c r="I840">
        <v>13</v>
      </c>
      <c r="J840">
        <v>3</v>
      </c>
      <c r="K840" t="s">
        <v>29</v>
      </c>
      <c r="L840" t="s">
        <v>30</v>
      </c>
      <c r="M840">
        <v>39</v>
      </c>
      <c r="N840" t="s">
        <v>29</v>
      </c>
      <c r="O840">
        <v>5</v>
      </c>
    </row>
    <row r="841" spans="1:15" x14ac:dyDescent="0.3">
      <c r="A841" t="s">
        <v>879</v>
      </c>
      <c r="B841">
        <v>33</v>
      </c>
      <c r="C841" t="s">
        <v>24</v>
      </c>
      <c r="D841" t="s">
        <v>35</v>
      </c>
      <c r="E841" t="s">
        <v>33</v>
      </c>
      <c r="F841" t="s">
        <v>38</v>
      </c>
      <c r="G841" t="s">
        <v>20</v>
      </c>
      <c r="H841">
        <v>103600</v>
      </c>
      <c r="I841">
        <v>4</v>
      </c>
      <c r="J841">
        <v>8</v>
      </c>
      <c r="K841" t="s">
        <v>29</v>
      </c>
      <c r="L841" t="s">
        <v>30</v>
      </c>
      <c r="M841">
        <v>5</v>
      </c>
      <c r="N841" t="s">
        <v>29</v>
      </c>
      <c r="O841">
        <v>5</v>
      </c>
    </row>
    <row r="842" spans="1:15" x14ac:dyDescent="0.3">
      <c r="A842" t="s">
        <v>880</v>
      </c>
      <c r="B842">
        <v>23</v>
      </c>
      <c r="C842" t="s">
        <v>16</v>
      </c>
      <c r="D842" t="s">
        <v>35</v>
      </c>
      <c r="E842" t="s">
        <v>18</v>
      </c>
      <c r="F842" t="s">
        <v>36</v>
      </c>
      <c r="G842" t="s">
        <v>20</v>
      </c>
      <c r="H842">
        <v>82514</v>
      </c>
      <c r="I842">
        <v>8</v>
      </c>
      <c r="J842">
        <v>9</v>
      </c>
      <c r="K842" t="s">
        <v>21</v>
      </c>
      <c r="L842" t="s">
        <v>47</v>
      </c>
      <c r="M842">
        <v>33</v>
      </c>
      <c r="N842" t="s">
        <v>21</v>
      </c>
      <c r="O842">
        <v>4</v>
      </c>
    </row>
    <row r="843" spans="1:15" x14ac:dyDescent="0.3">
      <c r="A843" t="s">
        <v>881</v>
      </c>
      <c r="B843">
        <v>53</v>
      </c>
      <c r="C843" t="s">
        <v>16</v>
      </c>
      <c r="D843" t="s">
        <v>32</v>
      </c>
      <c r="E843" t="s">
        <v>33</v>
      </c>
      <c r="F843" t="s">
        <v>19</v>
      </c>
      <c r="G843" t="s">
        <v>28</v>
      </c>
      <c r="H843">
        <v>28433</v>
      </c>
      <c r="I843">
        <v>10</v>
      </c>
      <c r="J843">
        <v>5</v>
      </c>
      <c r="K843" t="s">
        <v>21</v>
      </c>
      <c r="L843" t="s">
        <v>47</v>
      </c>
      <c r="M843">
        <v>55</v>
      </c>
      <c r="N843" t="s">
        <v>21</v>
      </c>
      <c r="O843">
        <v>2</v>
      </c>
    </row>
    <row r="844" spans="1:15" x14ac:dyDescent="0.3">
      <c r="A844" t="s">
        <v>882</v>
      </c>
      <c r="B844">
        <v>26</v>
      </c>
      <c r="C844" t="s">
        <v>24</v>
      </c>
      <c r="D844" t="s">
        <v>17</v>
      </c>
      <c r="E844" t="s">
        <v>33</v>
      </c>
      <c r="F844" t="s">
        <v>19</v>
      </c>
      <c r="G844" t="s">
        <v>28</v>
      </c>
      <c r="H844">
        <v>29111</v>
      </c>
      <c r="I844">
        <v>4</v>
      </c>
      <c r="J844">
        <v>9</v>
      </c>
      <c r="K844" t="s">
        <v>29</v>
      </c>
      <c r="L844" t="s">
        <v>47</v>
      </c>
      <c r="M844">
        <v>68</v>
      </c>
      <c r="N844" t="s">
        <v>29</v>
      </c>
      <c r="O844">
        <v>4</v>
      </c>
    </row>
    <row r="845" spans="1:15" x14ac:dyDescent="0.3">
      <c r="A845" t="s">
        <v>883</v>
      </c>
      <c r="B845">
        <v>30</v>
      </c>
      <c r="C845" t="s">
        <v>24</v>
      </c>
      <c r="D845" t="s">
        <v>25</v>
      </c>
      <c r="E845" t="s">
        <v>50</v>
      </c>
      <c r="F845" t="s">
        <v>19</v>
      </c>
      <c r="G845" t="s">
        <v>28</v>
      </c>
      <c r="H845">
        <v>83753</v>
      </c>
      <c r="I845">
        <v>2</v>
      </c>
      <c r="J845">
        <v>6</v>
      </c>
      <c r="K845" t="s">
        <v>29</v>
      </c>
      <c r="L845" t="s">
        <v>22</v>
      </c>
      <c r="M845">
        <v>8</v>
      </c>
      <c r="N845" t="s">
        <v>29</v>
      </c>
      <c r="O845">
        <v>5</v>
      </c>
    </row>
    <row r="846" spans="1:15" x14ac:dyDescent="0.3">
      <c r="A846" t="s">
        <v>884</v>
      </c>
      <c r="B846">
        <v>25</v>
      </c>
      <c r="C846" t="s">
        <v>24</v>
      </c>
      <c r="D846" t="s">
        <v>35</v>
      </c>
      <c r="E846" t="s">
        <v>41</v>
      </c>
      <c r="F846" t="s">
        <v>36</v>
      </c>
      <c r="G846" t="s">
        <v>20</v>
      </c>
      <c r="H846">
        <v>100583</v>
      </c>
      <c r="I846">
        <v>16</v>
      </c>
      <c r="J846">
        <v>9</v>
      </c>
      <c r="K846" t="s">
        <v>29</v>
      </c>
      <c r="L846" t="s">
        <v>47</v>
      </c>
      <c r="M846">
        <v>91</v>
      </c>
      <c r="N846" t="s">
        <v>21</v>
      </c>
      <c r="O846">
        <v>4</v>
      </c>
    </row>
    <row r="847" spans="1:15" x14ac:dyDescent="0.3">
      <c r="A847" t="s">
        <v>885</v>
      </c>
      <c r="B847">
        <v>43</v>
      </c>
      <c r="C847" t="s">
        <v>24</v>
      </c>
      <c r="D847" t="s">
        <v>17</v>
      </c>
      <c r="E847" t="s">
        <v>18</v>
      </c>
      <c r="F847" t="s">
        <v>27</v>
      </c>
      <c r="G847" t="s">
        <v>28</v>
      </c>
      <c r="H847">
        <v>93620</v>
      </c>
      <c r="I847">
        <v>1</v>
      </c>
      <c r="J847">
        <v>2</v>
      </c>
      <c r="K847" t="s">
        <v>29</v>
      </c>
      <c r="L847" t="s">
        <v>22</v>
      </c>
      <c r="M847">
        <v>32</v>
      </c>
      <c r="N847" t="s">
        <v>29</v>
      </c>
      <c r="O847">
        <v>5</v>
      </c>
    </row>
    <row r="848" spans="1:15" x14ac:dyDescent="0.3">
      <c r="A848" t="s">
        <v>886</v>
      </c>
      <c r="B848">
        <v>30</v>
      </c>
      <c r="C848" t="s">
        <v>16</v>
      </c>
      <c r="D848" t="s">
        <v>32</v>
      </c>
      <c r="E848" t="s">
        <v>50</v>
      </c>
      <c r="F848" t="s">
        <v>27</v>
      </c>
      <c r="G848" t="s">
        <v>20</v>
      </c>
      <c r="H848">
        <v>41751</v>
      </c>
      <c r="I848">
        <v>0</v>
      </c>
      <c r="J848">
        <v>7</v>
      </c>
      <c r="K848" t="s">
        <v>29</v>
      </c>
      <c r="L848" t="s">
        <v>22</v>
      </c>
      <c r="M848">
        <v>20</v>
      </c>
      <c r="N848" t="s">
        <v>21</v>
      </c>
      <c r="O848">
        <v>1</v>
      </c>
    </row>
    <row r="849" spans="1:15" x14ac:dyDescent="0.3">
      <c r="A849" t="s">
        <v>887</v>
      </c>
      <c r="B849">
        <v>22</v>
      </c>
      <c r="C849" t="s">
        <v>24</v>
      </c>
      <c r="D849" t="s">
        <v>40</v>
      </c>
      <c r="E849" t="s">
        <v>33</v>
      </c>
      <c r="F849" t="s">
        <v>19</v>
      </c>
      <c r="G849" t="s">
        <v>28</v>
      </c>
      <c r="H849">
        <v>36453</v>
      </c>
      <c r="I849">
        <v>6</v>
      </c>
      <c r="J849">
        <v>2</v>
      </c>
      <c r="K849" t="s">
        <v>21</v>
      </c>
      <c r="L849" t="s">
        <v>22</v>
      </c>
      <c r="M849">
        <v>67</v>
      </c>
      <c r="N849" t="s">
        <v>29</v>
      </c>
      <c r="O849">
        <v>1</v>
      </c>
    </row>
    <row r="850" spans="1:15" x14ac:dyDescent="0.3">
      <c r="A850" t="s">
        <v>888</v>
      </c>
      <c r="B850">
        <v>33</v>
      </c>
      <c r="C850" t="s">
        <v>24</v>
      </c>
      <c r="D850" t="s">
        <v>25</v>
      </c>
      <c r="E850" t="s">
        <v>33</v>
      </c>
      <c r="F850" t="s">
        <v>38</v>
      </c>
      <c r="G850" t="s">
        <v>20</v>
      </c>
      <c r="H850">
        <v>105844</v>
      </c>
      <c r="I850">
        <v>13</v>
      </c>
      <c r="J850">
        <v>0</v>
      </c>
      <c r="K850" t="s">
        <v>21</v>
      </c>
      <c r="L850" t="s">
        <v>45</v>
      </c>
      <c r="M850">
        <v>80</v>
      </c>
      <c r="N850" t="s">
        <v>21</v>
      </c>
      <c r="O850">
        <v>3</v>
      </c>
    </row>
    <row r="851" spans="1:15" x14ac:dyDescent="0.3">
      <c r="A851" t="s">
        <v>889</v>
      </c>
      <c r="B851">
        <v>22</v>
      </c>
      <c r="C851" t="s">
        <v>24</v>
      </c>
      <c r="D851" t="s">
        <v>44</v>
      </c>
      <c r="E851" t="s">
        <v>41</v>
      </c>
      <c r="F851" t="s">
        <v>27</v>
      </c>
      <c r="G851" t="s">
        <v>20</v>
      </c>
      <c r="H851">
        <v>58968</v>
      </c>
      <c r="I851">
        <v>4</v>
      </c>
      <c r="J851">
        <v>9</v>
      </c>
      <c r="K851" t="s">
        <v>29</v>
      </c>
      <c r="L851" t="s">
        <v>45</v>
      </c>
      <c r="M851">
        <v>57</v>
      </c>
      <c r="N851" t="s">
        <v>29</v>
      </c>
      <c r="O851">
        <v>2</v>
      </c>
    </row>
    <row r="852" spans="1:15" x14ac:dyDescent="0.3">
      <c r="A852" t="s">
        <v>890</v>
      </c>
      <c r="B852">
        <v>40</v>
      </c>
      <c r="C852" t="s">
        <v>24</v>
      </c>
      <c r="D852" t="s">
        <v>35</v>
      </c>
      <c r="E852" t="s">
        <v>18</v>
      </c>
      <c r="F852" t="s">
        <v>36</v>
      </c>
      <c r="G852" t="s">
        <v>28</v>
      </c>
      <c r="H852">
        <v>50077</v>
      </c>
      <c r="I852">
        <v>18</v>
      </c>
      <c r="J852">
        <v>4</v>
      </c>
      <c r="K852" t="s">
        <v>21</v>
      </c>
      <c r="L852" t="s">
        <v>45</v>
      </c>
      <c r="M852">
        <v>89</v>
      </c>
      <c r="N852" t="s">
        <v>21</v>
      </c>
      <c r="O852">
        <v>1</v>
      </c>
    </row>
    <row r="853" spans="1:15" x14ac:dyDescent="0.3">
      <c r="A853" t="s">
        <v>891</v>
      </c>
      <c r="B853">
        <v>21</v>
      </c>
      <c r="C853" t="s">
        <v>24</v>
      </c>
      <c r="D853" t="s">
        <v>17</v>
      </c>
      <c r="E853" t="s">
        <v>18</v>
      </c>
      <c r="F853" t="s">
        <v>27</v>
      </c>
      <c r="G853" t="s">
        <v>20</v>
      </c>
      <c r="H853">
        <v>54775</v>
      </c>
      <c r="I853">
        <v>10</v>
      </c>
      <c r="J853">
        <v>1</v>
      </c>
      <c r="K853" t="s">
        <v>21</v>
      </c>
      <c r="L853" t="s">
        <v>22</v>
      </c>
      <c r="M853">
        <v>21</v>
      </c>
      <c r="N853" t="s">
        <v>29</v>
      </c>
      <c r="O853">
        <v>5</v>
      </c>
    </row>
    <row r="854" spans="1:15" x14ac:dyDescent="0.3">
      <c r="A854" t="s">
        <v>892</v>
      </c>
      <c r="B854">
        <v>57</v>
      </c>
      <c r="C854" t="s">
        <v>24</v>
      </c>
      <c r="D854" t="s">
        <v>40</v>
      </c>
      <c r="E854" t="s">
        <v>26</v>
      </c>
      <c r="F854" t="s">
        <v>19</v>
      </c>
      <c r="G854" t="s">
        <v>28</v>
      </c>
      <c r="H854">
        <v>78144</v>
      </c>
      <c r="I854">
        <v>1</v>
      </c>
      <c r="J854">
        <v>9</v>
      </c>
      <c r="K854" t="s">
        <v>29</v>
      </c>
      <c r="L854" t="s">
        <v>22</v>
      </c>
      <c r="M854">
        <v>44</v>
      </c>
      <c r="N854" t="s">
        <v>29</v>
      </c>
      <c r="O854">
        <v>4</v>
      </c>
    </row>
    <row r="855" spans="1:15" x14ac:dyDescent="0.3">
      <c r="A855" t="s">
        <v>893</v>
      </c>
      <c r="B855">
        <v>29</v>
      </c>
      <c r="C855" t="s">
        <v>24</v>
      </c>
      <c r="D855" t="s">
        <v>44</v>
      </c>
      <c r="E855" t="s">
        <v>18</v>
      </c>
      <c r="F855" t="s">
        <v>38</v>
      </c>
      <c r="G855" t="s">
        <v>20</v>
      </c>
      <c r="H855">
        <v>68570</v>
      </c>
      <c r="I855">
        <v>7</v>
      </c>
      <c r="J855">
        <v>5</v>
      </c>
      <c r="K855" t="s">
        <v>21</v>
      </c>
      <c r="L855" t="s">
        <v>30</v>
      </c>
      <c r="M855">
        <v>17</v>
      </c>
      <c r="N855" t="s">
        <v>21</v>
      </c>
      <c r="O855">
        <v>4</v>
      </c>
    </row>
    <row r="856" spans="1:15" x14ac:dyDescent="0.3">
      <c r="A856" t="s">
        <v>894</v>
      </c>
      <c r="B856">
        <v>37</v>
      </c>
      <c r="C856" t="s">
        <v>16</v>
      </c>
      <c r="D856" t="s">
        <v>17</v>
      </c>
      <c r="E856" t="s">
        <v>41</v>
      </c>
      <c r="F856" t="s">
        <v>27</v>
      </c>
      <c r="G856" t="s">
        <v>28</v>
      </c>
      <c r="H856">
        <v>66097</v>
      </c>
      <c r="I856">
        <v>8</v>
      </c>
      <c r="J856">
        <v>9</v>
      </c>
      <c r="K856" t="s">
        <v>21</v>
      </c>
      <c r="L856" t="s">
        <v>22</v>
      </c>
      <c r="M856">
        <v>56</v>
      </c>
      <c r="N856" t="s">
        <v>21</v>
      </c>
      <c r="O856">
        <v>3</v>
      </c>
    </row>
    <row r="857" spans="1:15" x14ac:dyDescent="0.3">
      <c r="A857" t="s">
        <v>895</v>
      </c>
      <c r="B857">
        <v>29</v>
      </c>
      <c r="C857" t="s">
        <v>16</v>
      </c>
      <c r="D857" t="s">
        <v>17</v>
      </c>
      <c r="E857" t="s">
        <v>26</v>
      </c>
      <c r="F857" t="s">
        <v>27</v>
      </c>
      <c r="G857" t="s">
        <v>28</v>
      </c>
      <c r="H857">
        <v>44503</v>
      </c>
      <c r="I857">
        <v>2</v>
      </c>
      <c r="J857">
        <v>8</v>
      </c>
      <c r="K857" t="s">
        <v>21</v>
      </c>
      <c r="L857" t="s">
        <v>45</v>
      </c>
      <c r="M857">
        <v>62</v>
      </c>
      <c r="N857" t="s">
        <v>29</v>
      </c>
      <c r="O857">
        <v>4</v>
      </c>
    </row>
    <row r="858" spans="1:15" x14ac:dyDescent="0.3">
      <c r="A858" t="s">
        <v>896</v>
      </c>
      <c r="B858">
        <v>31</v>
      </c>
      <c r="C858" t="s">
        <v>16</v>
      </c>
      <c r="D858" t="s">
        <v>44</v>
      </c>
      <c r="E858" t="s">
        <v>26</v>
      </c>
      <c r="F858" t="s">
        <v>19</v>
      </c>
      <c r="G858" t="s">
        <v>20</v>
      </c>
      <c r="H858">
        <v>22779</v>
      </c>
      <c r="I858">
        <v>1</v>
      </c>
      <c r="J858">
        <v>0</v>
      </c>
      <c r="K858" t="s">
        <v>29</v>
      </c>
      <c r="L858" t="s">
        <v>22</v>
      </c>
      <c r="M858">
        <v>41</v>
      </c>
      <c r="N858" t="s">
        <v>29</v>
      </c>
      <c r="O858">
        <v>1</v>
      </c>
    </row>
    <row r="859" spans="1:15" x14ac:dyDescent="0.3">
      <c r="A859" t="s">
        <v>897</v>
      </c>
      <c r="B859">
        <v>35</v>
      </c>
      <c r="C859" t="s">
        <v>16</v>
      </c>
      <c r="D859" t="s">
        <v>40</v>
      </c>
      <c r="E859" t="s">
        <v>33</v>
      </c>
      <c r="F859" t="s">
        <v>38</v>
      </c>
      <c r="G859" t="s">
        <v>28</v>
      </c>
      <c r="H859">
        <v>106840</v>
      </c>
      <c r="I859">
        <v>6</v>
      </c>
      <c r="J859">
        <v>3</v>
      </c>
      <c r="K859" t="s">
        <v>29</v>
      </c>
      <c r="L859" t="s">
        <v>22</v>
      </c>
      <c r="M859">
        <v>83</v>
      </c>
      <c r="N859" t="s">
        <v>21</v>
      </c>
      <c r="O859">
        <v>4</v>
      </c>
    </row>
    <row r="860" spans="1:15" x14ac:dyDescent="0.3">
      <c r="A860" t="s">
        <v>898</v>
      </c>
      <c r="B860">
        <v>44</v>
      </c>
      <c r="C860" t="s">
        <v>24</v>
      </c>
      <c r="D860" t="s">
        <v>32</v>
      </c>
      <c r="E860" t="s">
        <v>33</v>
      </c>
      <c r="F860" t="s">
        <v>38</v>
      </c>
      <c r="G860" t="s">
        <v>20</v>
      </c>
      <c r="H860">
        <v>20755</v>
      </c>
      <c r="I860">
        <v>4</v>
      </c>
      <c r="J860">
        <v>0</v>
      </c>
      <c r="K860" t="s">
        <v>21</v>
      </c>
      <c r="L860" t="s">
        <v>30</v>
      </c>
      <c r="M860">
        <v>80</v>
      </c>
      <c r="N860" t="s">
        <v>21</v>
      </c>
      <c r="O860">
        <v>1</v>
      </c>
    </row>
    <row r="861" spans="1:15" x14ac:dyDescent="0.3">
      <c r="A861" t="s">
        <v>899</v>
      </c>
      <c r="B861">
        <v>58</v>
      </c>
      <c r="C861" t="s">
        <v>16</v>
      </c>
      <c r="D861" t="s">
        <v>40</v>
      </c>
      <c r="E861" t="s">
        <v>18</v>
      </c>
      <c r="F861" t="s">
        <v>19</v>
      </c>
      <c r="G861" t="s">
        <v>28</v>
      </c>
      <c r="H861">
        <v>59263</v>
      </c>
      <c r="I861">
        <v>4</v>
      </c>
      <c r="J861">
        <v>0</v>
      </c>
      <c r="K861" t="s">
        <v>21</v>
      </c>
      <c r="L861" t="s">
        <v>22</v>
      </c>
      <c r="M861">
        <v>65</v>
      </c>
      <c r="N861" t="s">
        <v>21</v>
      </c>
      <c r="O861">
        <v>1</v>
      </c>
    </row>
    <row r="862" spans="1:15" x14ac:dyDescent="0.3">
      <c r="A862" t="s">
        <v>900</v>
      </c>
      <c r="B862">
        <v>55</v>
      </c>
      <c r="C862" t="s">
        <v>16</v>
      </c>
      <c r="D862" t="s">
        <v>25</v>
      </c>
      <c r="E862" t="s">
        <v>26</v>
      </c>
      <c r="F862" t="s">
        <v>36</v>
      </c>
      <c r="G862" t="s">
        <v>28</v>
      </c>
      <c r="H862">
        <v>75087</v>
      </c>
      <c r="I862">
        <v>19</v>
      </c>
      <c r="J862">
        <v>7</v>
      </c>
      <c r="K862" t="s">
        <v>21</v>
      </c>
      <c r="L862" t="s">
        <v>47</v>
      </c>
      <c r="M862">
        <v>83</v>
      </c>
      <c r="N862" t="s">
        <v>29</v>
      </c>
      <c r="O862">
        <v>2</v>
      </c>
    </row>
    <row r="863" spans="1:15" x14ac:dyDescent="0.3">
      <c r="A863" t="s">
        <v>901</v>
      </c>
      <c r="B863">
        <v>50</v>
      </c>
      <c r="C863" t="s">
        <v>24</v>
      </c>
      <c r="D863" t="s">
        <v>35</v>
      </c>
      <c r="E863" t="s">
        <v>33</v>
      </c>
      <c r="F863" t="s">
        <v>27</v>
      </c>
      <c r="G863" t="s">
        <v>28</v>
      </c>
      <c r="H863">
        <v>62281</v>
      </c>
      <c r="I863">
        <v>12</v>
      </c>
      <c r="J863">
        <v>1</v>
      </c>
      <c r="K863" t="s">
        <v>21</v>
      </c>
      <c r="L863" t="s">
        <v>30</v>
      </c>
      <c r="M863">
        <v>38</v>
      </c>
      <c r="N863" t="s">
        <v>29</v>
      </c>
      <c r="O863">
        <v>3</v>
      </c>
    </row>
    <row r="864" spans="1:15" x14ac:dyDescent="0.3">
      <c r="A864" t="s">
        <v>902</v>
      </c>
      <c r="B864">
        <v>51</v>
      </c>
      <c r="C864" t="s">
        <v>24</v>
      </c>
      <c r="D864" t="s">
        <v>44</v>
      </c>
      <c r="E864" t="s">
        <v>41</v>
      </c>
      <c r="F864" t="s">
        <v>36</v>
      </c>
      <c r="G864" t="s">
        <v>28</v>
      </c>
      <c r="H864">
        <v>71482</v>
      </c>
      <c r="I864">
        <v>19</v>
      </c>
      <c r="J864">
        <v>0</v>
      </c>
      <c r="K864" t="s">
        <v>21</v>
      </c>
      <c r="L864" t="s">
        <v>22</v>
      </c>
      <c r="M864">
        <v>74</v>
      </c>
      <c r="N864" t="s">
        <v>21</v>
      </c>
      <c r="O864">
        <v>5</v>
      </c>
    </row>
    <row r="865" spans="1:15" x14ac:dyDescent="0.3">
      <c r="A865" t="s">
        <v>903</v>
      </c>
      <c r="B865">
        <v>25</v>
      </c>
      <c r="C865" t="s">
        <v>16</v>
      </c>
      <c r="D865" t="s">
        <v>32</v>
      </c>
      <c r="E865" t="s">
        <v>33</v>
      </c>
      <c r="F865" t="s">
        <v>27</v>
      </c>
      <c r="G865" t="s">
        <v>20</v>
      </c>
      <c r="H865">
        <v>74857</v>
      </c>
      <c r="I865">
        <v>5</v>
      </c>
      <c r="J865">
        <v>7</v>
      </c>
      <c r="K865" t="s">
        <v>21</v>
      </c>
      <c r="L865" t="s">
        <v>22</v>
      </c>
      <c r="M865">
        <v>21</v>
      </c>
      <c r="N865" t="s">
        <v>29</v>
      </c>
      <c r="O865">
        <v>1</v>
      </c>
    </row>
    <row r="866" spans="1:15" x14ac:dyDescent="0.3">
      <c r="A866" t="s">
        <v>904</v>
      </c>
      <c r="B866">
        <v>34</v>
      </c>
      <c r="C866" t="s">
        <v>16</v>
      </c>
      <c r="D866" t="s">
        <v>44</v>
      </c>
      <c r="E866" t="s">
        <v>33</v>
      </c>
      <c r="F866" t="s">
        <v>27</v>
      </c>
      <c r="G866" t="s">
        <v>28</v>
      </c>
      <c r="H866">
        <v>37400</v>
      </c>
      <c r="I866">
        <v>19</v>
      </c>
      <c r="J866">
        <v>3</v>
      </c>
      <c r="K866" t="s">
        <v>29</v>
      </c>
      <c r="L866" t="s">
        <v>30</v>
      </c>
      <c r="M866">
        <v>24</v>
      </c>
      <c r="N866" t="s">
        <v>29</v>
      </c>
      <c r="O866">
        <v>3</v>
      </c>
    </row>
    <row r="867" spans="1:15" x14ac:dyDescent="0.3">
      <c r="A867" t="s">
        <v>905</v>
      </c>
      <c r="B867">
        <v>31</v>
      </c>
      <c r="C867" t="s">
        <v>24</v>
      </c>
      <c r="D867" t="s">
        <v>44</v>
      </c>
      <c r="E867" t="s">
        <v>26</v>
      </c>
      <c r="F867" t="s">
        <v>36</v>
      </c>
      <c r="G867" t="s">
        <v>28</v>
      </c>
      <c r="H867">
        <v>60115</v>
      </c>
      <c r="I867">
        <v>17</v>
      </c>
      <c r="J867">
        <v>2</v>
      </c>
      <c r="K867" t="s">
        <v>21</v>
      </c>
      <c r="L867" t="s">
        <v>22</v>
      </c>
      <c r="M867">
        <v>77</v>
      </c>
      <c r="N867" t="s">
        <v>21</v>
      </c>
      <c r="O867">
        <v>5</v>
      </c>
    </row>
    <row r="868" spans="1:15" x14ac:dyDescent="0.3">
      <c r="A868" t="s">
        <v>906</v>
      </c>
      <c r="B868">
        <v>29</v>
      </c>
      <c r="C868" t="s">
        <v>16</v>
      </c>
      <c r="D868" t="s">
        <v>40</v>
      </c>
      <c r="E868" t="s">
        <v>26</v>
      </c>
      <c r="F868" t="s">
        <v>19</v>
      </c>
      <c r="G868" t="s">
        <v>20</v>
      </c>
      <c r="H868">
        <v>34249</v>
      </c>
      <c r="I868">
        <v>1</v>
      </c>
      <c r="J868">
        <v>3</v>
      </c>
      <c r="K868" t="s">
        <v>21</v>
      </c>
      <c r="L868" t="s">
        <v>45</v>
      </c>
      <c r="M868">
        <v>63</v>
      </c>
      <c r="N868" t="s">
        <v>29</v>
      </c>
      <c r="O868">
        <v>4</v>
      </c>
    </row>
    <row r="869" spans="1:15" x14ac:dyDescent="0.3">
      <c r="A869" t="s">
        <v>907</v>
      </c>
      <c r="B869">
        <v>54</v>
      </c>
      <c r="C869" t="s">
        <v>24</v>
      </c>
      <c r="D869" t="s">
        <v>35</v>
      </c>
      <c r="E869" t="s">
        <v>50</v>
      </c>
      <c r="F869" t="s">
        <v>19</v>
      </c>
      <c r="G869" t="s">
        <v>20</v>
      </c>
      <c r="H869">
        <v>66825</v>
      </c>
      <c r="I869">
        <v>5</v>
      </c>
      <c r="J869">
        <v>4</v>
      </c>
      <c r="K869" t="s">
        <v>29</v>
      </c>
      <c r="L869" t="s">
        <v>47</v>
      </c>
      <c r="M869">
        <v>73</v>
      </c>
      <c r="N869" t="s">
        <v>21</v>
      </c>
      <c r="O869">
        <v>3</v>
      </c>
    </row>
    <row r="870" spans="1:15" x14ac:dyDescent="0.3">
      <c r="A870" t="s">
        <v>908</v>
      </c>
      <c r="B870">
        <v>32</v>
      </c>
      <c r="C870" t="s">
        <v>24</v>
      </c>
      <c r="D870" t="s">
        <v>25</v>
      </c>
      <c r="E870" t="s">
        <v>41</v>
      </c>
      <c r="F870" t="s">
        <v>27</v>
      </c>
      <c r="G870" t="s">
        <v>20</v>
      </c>
      <c r="H870">
        <v>44600</v>
      </c>
      <c r="I870">
        <v>8</v>
      </c>
      <c r="J870">
        <v>0</v>
      </c>
      <c r="K870" t="s">
        <v>21</v>
      </c>
      <c r="L870" t="s">
        <v>47</v>
      </c>
      <c r="M870">
        <v>91</v>
      </c>
      <c r="N870" t="s">
        <v>21</v>
      </c>
      <c r="O870">
        <v>3</v>
      </c>
    </row>
    <row r="871" spans="1:15" x14ac:dyDescent="0.3">
      <c r="A871" t="s">
        <v>909</v>
      </c>
      <c r="B871">
        <v>55</v>
      </c>
      <c r="C871" t="s">
        <v>24</v>
      </c>
      <c r="D871" t="s">
        <v>17</v>
      </c>
      <c r="E871" t="s">
        <v>26</v>
      </c>
      <c r="F871" t="s">
        <v>19</v>
      </c>
      <c r="G871" t="s">
        <v>20</v>
      </c>
      <c r="H871">
        <v>57706</v>
      </c>
      <c r="I871">
        <v>2</v>
      </c>
      <c r="J871">
        <v>0</v>
      </c>
      <c r="K871" t="s">
        <v>21</v>
      </c>
      <c r="L871" t="s">
        <v>45</v>
      </c>
      <c r="M871">
        <v>37</v>
      </c>
      <c r="N871" t="s">
        <v>29</v>
      </c>
      <c r="O871">
        <v>3</v>
      </c>
    </row>
    <row r="872" spans="1:15" x14ac:dyDescent="0.3">
      <c r="A872" t="s">
        <v>910</v>
      </c>
      <c r="B872">
        <v>55</v>
      </c>
      <c r="C872" t="s">
        <v>24</v>
      </c>
      <c r="D872" t="s">
        <v>17</v>
      </c>
      <c r="E872" t="s">
        <v>18</v>
      </c>
      <c r="F872" t="s">
        <v>27</v>
      </c>
      <c r="G872" t="s">
        <v>20</v>
      </c>
      <c r="H872">
        <v>39222</v>
      </c>
      <c r="I872">
        <v>0</v>
      </c>
      <c r="J872">
        <v>2</v>
      </c>
      <c r="K872" t="s">
        <v>21</v>
      </c>
      <c r="L872" t="s">
        <v>22</v>
      </c>
      <c r="M872">
        <v>82</v>
      </c>
      <c r="N872" t="s">
        <v>29</v>
      </c>
      <c r="O872">
        <v>4</v>
      </c>
    </row>
    <row r="873" spans="1:15" x14ac:dyDescent="0.3">
      <c r="A873" t="s">
        <v>911</v>
      </c>
      <c r="B873">
        <v>21</v>
      </c>
      <c r="C873" t="s">
        <v>16</v>
      </c>
      <c r="D873" t="s">
        <v>44</v>
      </c>
      <c r="E873" t="s">
        <v>41</v>
      </c>
      <c r="F873" t="s">
        <v>19</v>
      </c>
      <c r="G873" t="s">
        <v>20</v>
      </c>
      <c r="H873">
        <v>119041</v>
      </c>
      <c r="I873">
        <v>0</v>
      </c>
      <c r="J873">
        <v>5</v>
      </c>
      <c r="K873" t="s">
        <v>21</v>
      </c>
      <c r="L873" t="s">
        <v>22</v>
      </c>
      <c r="M873">
        <v>21</v>
      </c>
      <c r="N873" t="s">
        <v>21</v>
      </c>
      <c r="O873">
        <v>4</v>
      </c>
    </row>
    <row r="874" spans="1:15" x14ac:dyDescent="0.3">
      <c r="A874" t="s">
        <v>912</v>
      </c>
      <c r="B874">
        <v>42</v>
      </c>
      <c r="C874" t="s">
        <v>24</v>
      </c>
      <c r="D874" t="s">
        <v>35</v>
      </c>
      <c r="E874" t="s">
        <v>41</v>
      </c>
      <c r="F874" t="s">
        <v>27</v>
      </c>
      <c r="G874" t="s">
        <v>28</v>
      </c>
      <c r="H874">
        <v>61139</v>
      </c>
      <c r="I874">
        <v>18</v>
      </c>
      <c r="J874">
        <v>0</v>
      </c>
      <c r="K874" t="s">
        <v>29</v>
      </c>
      <c r="L874" t="s">
        <v>47</v>
      </c>
      <c r="M874">
        <v>61</v>
      </c>
      <c r="N874" t="s">
        <v>21</v>
      </c>
      <c r="O874">
        <v>3</v>
      </c>
    </row>
    <row r="875" spans="1:15" x14ac:dyDescent="0.3">
      <c r="A875" t="s">
        <v>913</v>
      </c>
      <c r="B875">
        <v>49</v>
      </c>
      <c r="C875" t="s">
        <v>24</v>
      </c>
      <c r="D875" t="s">
        <v>32</v>
      </c>
      <c r="E875" t="s">
        <v>26</v>
      </c>
      <c r="F875" t="s">
        <v>19</v>
      </c>
      <c r="G875" t="s">
        <v>20</v>
      </c>
      <c r="H875">
        <v>61302</v>
      </c>
      <c r="I875">
        <v>4</v>
      </c>
      <c r="J875">
        <v>1</v>
      </c>
      <c r="K875" t="s">
        <v>21</v>
      </c>
      <c r="L875" t="s">
        <v>22</v>
      </c>
      <c r="M875">
        <v>87</v>
      </c>
      <c r="N875" t="s">
        <v>21</v>
      </c>
      <c r="O875">
        <v>2</v>
      </c>
    </row>
    <row r="876" spans="1:15" x14ac:dyDescent="0.3">
      <c r="A876" t="s">
        <v>914</v>
      </c>
      <c r="B876">
        <v>28</v>
      </c>
      <c r="C876" t="s">
        <v>16</v>
      </c>
      <c r="D876" t="s">
        <v>40</v>
      </c>
      <c r="E876" t="s">
        <v>41</v>
      </c>
      <c r="F876" t="s">
        <v>38</v>
      </c>
      <c r="G876" t="s">
        <v>28</v>
      </c>
      <c r="H876">
        <v>114684</v>
      </c>
      <c r="I876">
        <v>12</v>
      </c>
      <c r="J876">
        <v>6</v>
      </c>
      <c r="K876" t="s">
        <v>29</v>
      </c>
      <c r="L876" t="s">
        <v>47</v>
      </c>
      <c r="M876">
        <v>5</v>
      </c>
      <c r="N876" t="s">
        <v>29</v>
      </c>
      <c r="O876">
        <v>1</v>
      </c>
    </row>
    <row r="877" spans="1:15" x14ac:dyDescent="0.3">
      <c r="A877" t="s">
        <v>915</v>
      </c>
      <c r="B877">
        <v>31</v>
      </c>
      <c r="C877" t="s">
        <v>24</v>
      </c>
      <c r="D877" t="s">
        <v>35</v>
      </c>
      <c r="E877" t="s">
        <v>26</v>
      </c>
      <c r="F877" t="s">
        <v>36</v>
      </c>
      <c r="G877" t="s">
        <v>20</v>
      </c>
      <c r="H877">
        <v>107838</v>
      </c>
      <c r="I877">
        <v>18</v>
      </c>
      <c r="J877">
        <v>0</v>
      </c>
      <c r="K877" t="s">
        <v>21</v>
      </c>
      <c r="L877" t="s">
        <v>47</v>
      </c>
      <c r="M877">
        <v>17</v>
      </c>
      <c r="N877" t="s">
        <v>21</v>
      </c>
      <c r="O877">
        <v>4</v>
      </c>
    </row>
    <row r="878" spans="1:15" x14ac:dyDescent="0.3">
      <c r="A878" t="s">
        <v>916</v>
      </c>
      <c r="B878">
        <v>57</v>
      </c>
      <c r="C878" t="s">
        <v>16</v>
      </c>
      <c r="D878" t="s">
        <v>35</v>
      </c>
      <c r="E878" t="s">
        <v>33</v>
      </c>
      <c r="F878" t="s">
        <v>38</v>
      </c>
      <c r="G878" t="s">
        <v>28</v>
      </c>
      <c r="H878">
        <v>88159</v>
      </c>
      <c r="I878">
        <v>11</v>
      </c>
      <c r="J878">
        <v>6</v>
      </c>
      <c r="K878" t="s">
        <v>21</v>
      </c>
      <c r="L878" t="s">
        <v>45</v>
      </c>
      <c r="M878">
        <v>31</v>
      </c>
      <c r="N878" t="s">
        <v>21</v>
      </c>
      <c r="O878">
        <v>2</v>
      </c>
    </row>
    <row r="879" spans="1:15" x14ac:dyDescent="0.3">
      <c r="A879" t="s">
        <v>917</v>
      </c>
      <c r="B879">
        <v>34</v>
      </c>
      <c r="C879" t="s">
        <v>16</v>
      </c>
      <c r="D879" t="s">
        <v>40</v>
      </c>
      <c r="E879" t="s">
        <v>50</v>
      </c>
      <c r="F879" t="s">
        <v>36</v>
      </c>
      <c r="G879" t="s">
        <v>28</v>
      </c>
      <c r="H879">
        <v>28646</v>
      </c>
      <c r="I879">
        <v>15</v>
      </c>
      <c r="J879">
        <v>3</v>
      </c>
      <c r="K879" t="s">
        <v>29</v>
      </c>
      <c r="L879" t="s">
        <v>47</v>
      </c>
      <c r="M879">
        <v>74</v>
      </c>
      <c r="N879" t="s">
        <v>21</v>
      </c>
      <c r="O879">
        <v>4</v>
      </c>
    </row>
    <row r="880" spans="1:15" x14ac:dyDescent="0.3">
      <c r="A880" t="s">
        <v>918</v>
      </c>
      <c r="B880">
        <v>50</v>
      </c>
      <c r="C880" t="s">
        <v>16</v>
      </c>
      <c r="D880" t="s">
        <v>44</v>
      </c>
      <c r="E880" t="s">
        <v>33</v>
      </c>
      <c r="F880" t="s">
        <v>36</v>
      </c>
      <c r="G880" t="s">
        <v>28</v>
      </c>
      <c r="H880">
        <v>33543</v>
      </c>
      <c r="I880">
        <v>18</v>
      </c>
      <c r="J880">
        <v>9</v>
      </c>
      <c r="K880" t="s">
        <v>21</v>
      </c>
      <c r="L880" t="s">
        <v>22</v>
      </c>
      <c r="M880">
        <v>63</v>
      </c>
      <c r="N880" t="s">
        <v>21</v>
      </c>
      <c r="O880">
        <v>3</v>
      </c>
    </row>
    <row r="881" spans="1:15" x14ac:dyDescent="0.3">
      <c r="A881" t="s">
        <v>919</v>
      </c>
      <c r="B881">
        <v>55</v>
      </c>
      <c r="C881" t="s">
        <v>24</v>
      </c>
      <c r="D881" t="s">
        <v>35</v>
      </c>
      <c r="E881" t="s">
        <v>26</v>
      </c>
      <c r="F881" t="s">
        <v>27</v>
      </c>
      <c r="G881" t="s">
        <v>20</v>
      </c>
      <c r="H881">
        <v>114496</v>
      </c>
      <c r="I881">
        <v>2</v>
      </c>
      <c r="J881">
        <v>5</v>
      </c>
      <c r="K881" t="s">
        <v>29</v>
      </c>
      <c r="L881" t="s">
        <v>22</v>
      </c>
      <c r="M881">
        <v>10</v>
      </c>
      <c r="N881" t="s">
        <v>29</v>
      </c>
      <c r="O881">
        <v>2</v>
      </c>
    </row>
    <row r="882" spans="1:15" x14ac:dyDescent="0.3">
      <c r="A882" t="s">
        <v>920</v>
      </c>
      <c r="B882">
        <v>41</v>
      </c>
      <c r="C882" t="s">
        <v>16</v>
      </c>
      <c r="D882" t="s">
        <v>17</v>
      </c>
      <c r="E882" t="s">
        <v>26</v>
      </c>
      <c r="F882" t="s">
        <v>36</v>
      </c>
      <c r="G882" t="s">
        <v>20</v>
      </c>
      <c r="H882">
        <v>42785</v>
      </c>
      <c r="I882">
        <v>11</v>
      </c>
      <c r="J882">
        <v>7</v>
      </c>
      <c r="K882" t="s">
        <v>29</v>
      </c>
      <c r="L882" t="s">
        <v>30</v>
      </c>
      <c r="M882">
        <v>98</v>
      </c>
      <c r="N882" t="s">
        <v>29</v>
      </c>
      <c r="O882">
        <v>5</v>
      </c>
    </row>
    <row r="883" spans="1:15" x14ac:dyDescent="0.3">
      <c r="A883" t="s">
        <v>921</v>
      </c>
      <c r="B883">
        <v>57</v>
      </c>
      <c r="C883" t="s">
        <v>16</v>
      </c>
      <c r="D883" t="s">
        <v>40</v>
      </c>
      <c r="E883" t="s">
        <v>33</v>
      </c>
      <c r="F883" t="s">
        <v>38</v>
      </c>
      <c r="G883" t="s">
        <v>20</v>
      </c>
      <c r="H883">
        <v>98353</v>
      </c>
      <c r="I883">
        <v>4</v>
      </c>
      <c r="J883">
        <v>8</v>
      </c>
      <c r="K883" t="s">
        <v>29</v>
      </c>
      <c r="L883" t="s">
        <v>22</v>
      </c>
      <c r="M883">
        <v>27</v>
      </c>
      <c r="N883" t="s">
        <v>21</v>
      </c>
      <c r="O883">
        <v>1</v>
      </c>
    </row>
    <row r="884" spans="1:15" x14ac:dyDescent="0.3">
      <c r="A884" t="s">
        <v>922</v>
      </c>
      <c r="B884">
        <v>25</v>
      </c>
      <c r="C884" t="s">
        <v>24</v>
      </c>
      <c r="D884" t="s">
        <v>32</v>
      </c>
      <c r="E884" t="s">
        <v>18</v>
      </c>
      <c r="F884" t="s">
        <v>38</v>
      </c>
      <c r="G884" t="s">
        <v>20</v>
      </c>
      <c r="H884">
        <v>51406</v>
      </c>
      <c r="I884">
        <v>1</v>
      </c>
      <c r="J884">
        <v>5</v>
      </c>
      <c r="K884" t="s">
        <v>21</v>
      </c>
      <c r="L884" t="s">
        <v>30</v>
      </c>
      <c r="M884">
        <v>14</v>
      </c>
      <c r="N884" t="s">
        <v>29</v>
      </c>
      <c r="O884">
        <v>1</v>
      </c>
    </row>
    <row r="885" spans="1:15" x14ac:dyDescent="0.3">
      <c r="A885" t="s">
        <v>923</v>
      </c>
      <c r="B885">
        <v>39</v>
      </c>
      <c r="C885" t="s">
        <v>16</v>
      </c>
      <c r="D885" t="s">
        <v>25</v>
      </c>
      <c r="E885" t="s">
        <v>18</v>
      </c>
      <c r="F885" t="s">
        <v>19</v>
      </c>
      <c r="G885" t="s">
        <v>28</v>
      </c>
      <c r="H885">
        <v>108992</v>
      </c>
      <c r="I885">
        <v>6</v>
      </c>
      <c r="J885">
        <v>8</v>
      </c>
      <c r="K885" t="s">
        <v>21</v>
      </c>
      <c r="L885" t="s">
        <v>47</v>
      </c>
      <c r="M885">
        <v>55</v>
      </c>
      <c r="N885" t="s">
        <v>29</v>
      </c>
      <c r="O885">
        <v>4</v>
      </c>
    </row>
    <row r="886" spans="1:15" x14ac:dyDescent="0.3">
      <c r="A886" t="s">
        <v>924</v>
      </c>
      <c r="B886">
        <v>34</v>
      </c>
      <c r="C886" t="s">
        <v>16</v>
      </c>
      <c r="D886" t="s">
        <v>44</v>
      </c>
      <c r="E886" t="s">
        <v>18</v>
      </c>
      <c r="F886" t="s">
        <v>38</v>
      </c>
      <c r="G886" t="s">
        <v>20</v>
      </c>
      <c r="H886">
        <v>71428</v>
      </c>
      <c r="I886">
        <v>12</v>
      </c>
      <c r="J886">
        <v>3</v>
      </c>
      <c r="K886" t="s">
        <v>21</v>
      </c>
      <c r="L886" t="s">
        <v>22</v>
      </c>
      <c r="M886">
        <v>23</v>
      </c>
      <c r="N886" t="s">
        <v>29</v>
      </c>
      <c r="O886">
        <v>1</v>
      </c>
    </row>
    <row r="887" spans="1:15" x14ac:dyDescent="0.3">
      <c r="A887" t="s">
        <v>925</v>
      </c>
      <c r="B887">
        <v>46</v>
      </c>
      <c r="C887" t="s">
        <v>16</v>
      </c>
      <c r="D887" t="s">
        <v>40</v>
      </c>
      <c r="E887" t="s">
        <v>26</v>
      </c>
      <c r="F887" t="s">
        <v>19</v>
      </c>
      <c r="G887" t="s">
        <v>28</v>
      </c>
      <c r="H887">
        <v>43777</v>
      </c>
      <c r="I887">
        <v>14</v>
      </c>
      <c r="J887">
        <v>5</v>
      </c>
      <c r="K887" t="s">
        <v>21</v>
      </c>
      <c r="L887" t="s">
        <v>45</v>
      </c>
      <c r="M887">
        <v>55</v>
      </c>
      <c r="N887" t="s">
        <v>21</v>
      </c>
      <c r="O887">
        <v>5</v>
      </c>
    </row>
    <row r="888" spans="1:15" x14ac:dyDescent="0.3">
      <c r="A888" t="s">
        <v>926</v>
      </c>
      <c r="B888">
        <v>24</v>
      </c>
      <c r="C888" t="s">
        <v>16</v>
      </c>
      <c r="D888" t="s">
        <v>25</v>
      </c>
      <c r="E888" t="s">
        <v>41</v>
      </c>
      <c r="F888" t="s">
        <v>36</v>
      </c>
      <c r="G888" t="s">
        <v>28</v>
      </c>
      <c r="H888">
        <v>77939</v>
      </c>
      <c r="I888">
        <v>2</v>
      </c>
      <c r="J888">
        <v>7</v>
      </c>
      <c r="K888" t="s">
        <v>29</v>
      </c>
      <c r="L888" t="s">
        <v>45</v>
      </c>
      <c r="M888">
        <v>96</v>
      </c>
      <c r="N888" t="s">
        <v>29</v>
      </c>
      <c r="O888">
        <v>2</v>
      </c>
    </row>
    <row r="889" spans="1:15" x14ac:dyDescent="0.3">
      <c r="A889" t="s">
        <v>927</v>
      </c>
      <c r="B889">
        <v>45</v>
      </c>
      <c r="C889" t="s">
        <v>16</v>
      </c>
      <c r="D889" t="s">
        <v>25</v>
      </c>
      <c r="E889" t="s">
        <v>26</v>
      </c>
      <c r="F889" t="s">
        <v>38</v>
      </c>
      <c r="G889" t="s">
        <v>20</v>
      </c>
      <c r="H889">
        <v>73026</v>
      </c>
      <c r="I889">
        <v>19</v>
      </c>
      <c r="J889">
        <v>8</v>
      </c>
      <c r="K889" t="s">
        <v>21</v>
      </c>
      <c r="L889" t="s">
        <v>45</v>
      </c>
      <c r="M889">
        <v>91</v>
      </c>
      <c r="N889" t="s">
        <v>29</v>
      </c>
      <c r="O889">
        <v>2</v>
      </c>
    </row>
    <row r="890" spans="1:15" x14ac:dyDescent="0.3">
      <c r="A890" t="s">
        <v>928</v>
      </c>
      <c r="B890">
        <v>45</v>
      </c>
      <c r="C890" t="s">
        <v>24</v>
      </c>
      <c r="D890" t="s">
        <v>32</v>
      </c>
      <c r="E890" t="s">
        <v>41</v>
      </c>
      <c r="F890" t="s">
        <v>36</v>
      </c>
      <c r="G890" t="s">
        <v>20</v>
      </c>
      <c r="H890">
        <v>106450</v>
      </c>
      <c r="I890">
        <v>4</v>
      </c>
      <c r="J890">
        <v>2</v>
      </c>
      <c r="K890" t="s">
        <v>21</v>
      </c>
      <c r="L890" t="s">
        <v>47</v>
      </c>
      <c r="M890">
        <v>72</v>
      </c>
      <c r="N890" t="s">
        <v>21</v>
      </c>
      <c r="O890">
        <v>3</v>
      </c>
    </row>
    <row r="891" spans="1:15" x14ac:dyDescent="0.3">
      <c r="A891" t="s">
        <v>929</v>
      </c>
      <c r="B891">
        <v>38</v>
      </c>
      <c r="C891" t="s">
        <v>16</v>
      </c>
      <c r="D891" t="s">
        <v>35</v>
      </c>
      <c r="E891" t="s">
        <v>33</v>
      </c>
      <c r="F891" t="s">
        <v>38</v>
      </c>
      <c r="G891" t="s">
        <v>20</v>
      </c>
      <c r="H891">
        <v>49553</v>
      </c>
      <c r="I891">
        <v>7</v>
      </c>
      <c r="J891">
        <v>1</v>
      </c>
      <c r="K891" t="s">
        <v>29</v>
      </c>
      <c r="L891" t="s">
        <v>47</v>
      </c>
      <c r="M891">
        <v>88</v>
      </c>
      <c r="N891" t="s">
        <v>21</v>
      </c>
      <c r="O891">
        <v>2</v>
      </c>
    </row>
    <row r="892" spans="1:15" x14ac:dyDescent="0.3">
      <c r="A892" t="s">
        <v>930</v>
      </c>
      <c r="B892">
        <v>28</v>
      </c>
      <c r="C892" t="s">
        <v>16</v>
      </c>
      <c r="D892" t="s">
        <v>32</v>
      </c>
      <c r="E892" t="s">
        <v>50</v>
      </c>
      <c r="F892" t="s">
        <v>38</v>
      </c>
      <c r="G892" t="s">
        <v>28</v>
      </c>
      <c r="H892">
        <v>43548</v>
      </c>
      <c r="I892">
        <v>0</v>
      </c>
      <c r="J892">
        <v>5</v>
      </c>
      <c r="K892" t="s">
        <v>29</v>
      </c>
      <c r="L892" t="s">
        <v>30</v>
      </c>
      <c r="M892">
        <v>87</v>
      </c>
      <c r="N892" t="s">
        <v>29</v>
      </c>
      <c r="O892">
        <v>4</v>
      </c>
    </row>
    <row r="893" spans="1:15" x14ac:dyDescent="0.3">
      <c r="A893" t="s">
        <v>931</v>
      </c>
      <c r="B893">
        <v>59</v>
      </c>
      <c r="C893" t="s">
        <v>24</v>
      </c>
      <c r="D893" t="s">
        <v>35</v>
      </c>
      <c r="E893" t="s">
        <v>41</v>
      </c>
      <c r="F893" t="s">
        <v>19</v>
      </c>
      <c r="G893" t="s">
        <v>20</v>
      </c>
      <c r="H893">
        <v>83221</v>
      </c>
      <c r="I893">
        <v>7</v>
      </c>
      <c r="J893">
        <v>3</v>
      </c>
      <c r="K893" t="s">
        <v>21</v>
      </c>
      <c r="L893" t="s">
        <v>45</v>
      </c>
      <c r="M893">
        <v>46</v>
      </c>
      <c r="N893" t="s">
        <v>29</v>
      </c>
      <c r="O893">
        <v>5</v>
      </c>
    </row>
    <row r="894" spans="1:15" x14ac:dyDescent="0.3">
      <c r="A894" t="s">
        <v>932</v>
      </c>
      <c r="B894">
        <v>34</v>
      </c>
      <c r="C894" t="s">
        <v>24</v>
      </c>
      <c r="D894" t="s">
        <v>35</v>
      </c>
      <c r="E894" t="s">
        <v>18</v>
      </c>
      <c r="F894" t="s">
        <v>36</v>
      </c>
      <c r="G894" t="s">
        <v>28</v>
      </c>
      <c r="H894">
        <v>57265</v>
      </c>
      <c r="I894">
        <v>17</v>
      </c>
      <c r="J894">
        <v>0</v>
      </c>
      <c r="K894" t="s">
        <v>29</v>
      </c>
      <c r="L894" t="s">
        <v>30</v>
      </c>
      <c r="M894">
        <v>95</v>
      </c>
      <c r="N894" t="s">
        <v>21</v>
      </c>
      <c r="O894">
        <v>3</v>
      </c>
    </row>
    <row r="895" spans="1:15" x14ac:dyDescent="0.3">
      <c r="A895" t="s">
        <v>933</v>
      </c>
      <c r="B895">
        <v>52</v>
      </c>
      <c r="C895" t="s">
        <v>24</v>
      </c>
      <c r="D895" t="s">
        <v>40</v>
      </c>
      <c r="E895" t="s">
        <v>26</v>
      </c>
      <c r="F895" t="s">
        <v>38</v>
      </c>
      <c r="G895" t="s">
        <v>20</v>
      </c>
      <c r="H895">
        <v>60701</v>
      </c>
      <c r="I895">
        <v>19</v>
      </c>
      <c r="J895">
        <v>7</v>
      </c>
      <c r="K895" t="s">
        <v>29</v>
      </c>
      <c r="L895" t="s">
        <v>30</v>
      </c>
      <c r="M895">
        <v>61</v>
      </c>
      <c r="N895" t="s">
        <v>21</v>
      </c>
      <c r="O895">
        <v>4</v>
      </c>
    </row>
    <row r="896" spans="1:15" x14ac:dyDescent="0.3">
      <c r="A896" t="s">
        <v>934</v>
      </c>
      <c r="B896">
        <v>58</v>
      </c>
      <c r="C896" t="s">
        <v>16</v>
      </c>
      <c r="D896" t="s">
        <v>40</v>
      </c>
      <c r="E896" t="s">
        <v>33</v>
      </c>
      <c r="F896" t="s">
        <v>27</v>
      </c>
      <c r="G896" t="s">
        <v>28</v>
      </c>
      <c r="H896">
        <v>71287</v>
      </c>
      <c r="I896">
        <v>15</v>
      </c>
      <c r="J896">
        <v>8</v>
      </c>
      <c r="K896" t="s">
        <v>29</v>
      </c>
      <c r="L896" t="s">
        <v>22</v>
      </c>
      <c r="M896">
        <v>72</v>
      </c>
      <c r="N896" t="s">
        <v>21</v>
      </c>
      <c r="O896">
        <v>4</v>
      </c>
    </row>
    <row r="897" spans="1:15" x14ac:dyDescent="0.3">
      <c r="A897" t="s">
        <v>935</v>
      </c>
      <c r="B897">
        <v>53</v>
      </c>
      <c r="C897" t="s">
        <v>24</v>
      </c>
      <c r="D897" t="s">
        <v>44</v>
      </c>
      <c r="E897" t="s">
        <v>18</v>
      </c>
      <c r="F897" t="s">
        <v>36</v>
      </c>
      <c r="G897" t="s">
        <v>20</v>
      </c>
      <c r="H897">
        <v>26727</v>
      </c>
      <c r="I897">
        <v>17</v>
      </c>
      <c r="J897">
        <v>8</v>
      </c>
      <c r="K897" t="s">
        <v>29</v>
      </c>
      <c r="L897" t="s">
        <v>22</v>
      </c>
      <c r="M897">
        <v>42</v>
      </c>
      <c r="N897" t="s">
        <v>21</v>
      </c>
      <c r="O897">
        <v>4</v>
      </c>
    </row>
    <row r="898" spans="1:15" x14ac:dyDescent="0.3">
      <c r="A898" t="s">
        <v>936</v>
      </c>
      <c r="B898">
        <v>43</v>
      </c>
      <c r="C898" t="s">
        <v>16</v>
      </c>
      <c r="D898" t="s">
        <v>35</v>
      </c>
      <c r="E898" t="s">
        <v>33</v>
      </c>
      <c r="F898" t="s">
        <v>36</v>
      </c>
      <c r="G898" t="s">
        <v>20</v>
      </c>
      <c r="H898">
        <v>70717</v>
      </c>
      <c r="I898">
        <v>19</v>
      </c>
      <c r="J898">
        <v>1</v>
      </c>
      <c r="K898" t="s">
        <v>29</v>
      </c>
      <c r="L898" t="s">
        <v>45</v>
      </c>
      <c r="M898">
        <v>66</v>
      </c>
      <c r="N898" t="s">
        <v>29</v>
      </c>
      <c r="O898">
        <v>1</v>
      </c>
    </row>
    <row r="899" spans="1:15" x14ac:dyDescent="0.3">
      <c r="A899" t="s">
        <v>937</v>
      </c>
      <c r="B899">
        <v>35</v>
      </c>
      <c r="C899" t="s">
        <v>16</v>
      </c>
      <c r="D899" t="s">
        <v>25</v>
      </c>
      <c r="E899" t="s">
        <v>50</v>
      </c>
      <c r="F899" t="s">
        <v>36</v>
      </c>
      <c r="G899" t="s">
        <v>28</v>
      </c>
      <c r="H899">
        <v>52427</v>
      </c>
      <c r="I899">
        <v>11</v>
      </c>
      <c r="J899">
        <v>8</v>
      </c>
      <c r="K899" t="s">
        <v>21</v>
      </c>
      <c r="L899" t="s">
        <v>47</v>
      </c>
      <c r="M899">
        <v>11</v>
      </c>
      <c r="N899" t="s">
        <v>21</v>
      </c>
      <c r="O899">
        <v>4</v>
      </c>
    </row>
    <row r="900" spans="1:15" x14ac:dyDescent="0.3">
      <c r="A900" t="s">
        <v>938</v>
      </c>
      <c r="B900">
        <v>53</v>
      </c>
      <c r="C900" t="s">
        <v>24</v>
      </c>
      <c r="D900" t="s">
        <v>17</v>
      </c>
      <c r="E900" t="s">
        <v>26</v>
      </c>
      <c r="F900" t="s">
        <v>19</v>
      </c>
      <c r="G900" t="s">
        <v>20</v>
      </c>
      <c r="H900">
        <v>36692</v>
      </c>
      <c r="I900">
        <v>12</v>
      </c>
      <c r="J900">
        <v>6</v>
      </c>
      <c r="K900" t="s">
        <v>21</v>
      </c>
      <c r="L900" t="s">
        <v>22</v>
      </c>
      <c r="M900">
        <v>75</v>
      </c>
      <c r="N900" t="s">
        <v>29</v>
      </c>
      <c r="O900">
        <v>1</v>
      </c>
    </row>
    <row r="901" spans="1:15" x14ac:dyDescent="0.3">
      <c r="A901" t="s">
        <v>939</v>
      </c>
      <c r="B901">
        <v>45</v>
      </c>
      <c r="C901" t="s">
        <v>24</v>
      </c>
      <c r="D901" t="s">
        <v>44</v>
      </c>
      <c r="E901" t="s">
        <v>26</v>
      </c>
      <c r="F901" t="s">
        <v>27</v>
      </c>
      <c r="G901" t="s">
        <v>20</v>
      </c>
      <c r="H901">
        <v>51625</v>
      </c>
      <c r="I901">
        <v>12</v>
      </c>
      <c r="J901">
        <v>4</v>
      </c>
      <c r="K901" t="s">
        <v>21</v>
      </c>
      <c r="L901" t="s">
        <v>47</v>
      </c>
      <c r="M901">
        <v>54</v>
      </c>
      <c r="N901" t="s">
        <v>29</v>
      </c>
      <c r="O901">
        <v>2</v>
      </c>
    </row>
    <row r="902" spans="1:15" x14ac:dyDescent="0.3">
      <c r="A902" t="s">
        <v>940</v>
      </c>
      <c r="B902">
        <v>37</v>
      </c>
      <c r="C902" t="s">
        <v>16</v>
      </c>
      <c r="D902" t="s">
        <v>40</v>
      </c>
      <c r="E902" t="s">
        <v>50</v>
      </c>
      <c r="F902" t="s">
        <v>36</v>
      </c>
      <c r="G902" t="s">
        <v>20</v>
      </c>
      <c r="H902">
        <v>44918</v>
      </c>
      <c r="I902">
        <v>9</v>
      </c>
      <c r="J902">
        <v>6</v>
      </c>
      <c r="K902" t="s">
        <v>21</v>
      </c>
      <c r="L902" t="s">
        <v>30</v>
      </c>
      <c r="M902">
        <v>56</v>
      </c>
      <c r="N902" t="s">
        <v>29</v>
      </c>
      <c r="O902">
        <v>1</v>
      </c>
    </row>
    <row r="903" spans="1:15" x14ac:dyDescent="0.3">
      <c r="A903" t="s">
        <v>941</v>
      </c>
      <c r="B903">
        <v>53</v>
      </c>
      <c r="C903" t="s">
        <v>24</v>
      </c>
      <c r="D903" t="s">
        <v>32</v>
      </c>
      <c r="E903" t="s">
        <v>26</v>
      </c>
      <c r="F903" t="s">
        <v>38</v>
      </c>
      <c r="G903" t="s">
        <v>20</v>
      </c>
      <c r="H903">
        <v>61136</v>
      </c>
      <c r="I903">
        <v>6</v>
      </c>
      <c r="J903">
        <v>8</v>
      </c>
      <c r="K903" t="s">
        <v>21</v>
      </c>
      <c r="L903" t="s">
        <v>30</v>
      </c>
      <c r="M903">
        <v>30</v>
      </c>
      <c r="N903" t="s">
        <v>21</v>
      </c>
      <c r="O903">
        <v>4</v>
      </c>
    </row>
    <row r="904" spans="1:15" x14ac:dyDescent="0.3">
      <c r="A904" t="s">
        <v>942</v>
      </c>
      <c r="B904">
        <v>22</v>
      </c>
      <c r="C904" t="s">
        <v>16</v>
      </c>
      <c r="D904" t="s">
        <v>44</v>
      </c>
      <c r="E904" t="s">
        <v>41</v>
      </c>
      <c r="F904" t="s">
        <v>38</v>
      </c>
      <c r="G904" t="s">
        <v>20</v>
      </c>
      <c r="H904">
        <v>72409</v>
      </c>
      <c r="I904">
        <v>13</v>
      </c>
      <c r="J904">
        <v>7</v>
      </c>
      <c r="K904" t="s">
        <v>21</v>
      </c>
      <c r="L904" t="s">
        <v>30</v>
      </c>
      <c r="M904">
        <v>30</v>
      </c>
      <c r="N904" t="s">
        <v>21</v>
      </c>
      <c r="O904">
        <v>5</v>
      </c>
    </row>
    <row r="905" spans="1:15" x14ac:dyDescent="0.3">
      <c r="A905" t="s">
        <v>943</v>
      </c>
      <c r="B905">
        <v>34</v>
      </c>
      <c r="C905" t="s">
        <v>24</v>
      </c>
      <c r="D905" t="s">
        <v>44</v>
      </c>
      <c r="E905" t="s">
        <v>33</v>
      </c>
      <c r="F905" t="s">
        <v>19</v>
      </c>
      <c r="G905" t="s">
        <v>20</v>
      </c>
      <c r="H905">
        <v>35577</v>
      </c>
      <c r="I905">
        <v>15</v>
      </c>
      <c r="J905">
        <v>5</v>
      </c>
      <c r="K905" t="s">
        <v>21</v>
      </c>
      <c r="L905" t="s">
        <v>30</v>
      </c>
      <c r="M905">
        <v>23</v>
      </c>
      <c r="N905" t="s">
        <v>29</v>
      </c>
      <c r="O905">
        <v>5</v>
      </c>
    </row>
    <row r="906" spans="1:15" x14ac:dyDescent="0.3">
      <c r="A906" t="s">
        <v>944</v>
      </c>
      <c r="B906">
        <v>59</v>
      </c>
      <c r="C906" t="s">
        <v>24</v>
      </c>
      <c r="D906" t="s">
        <v>44</v>
      </c>
      <c r="E906" t="s">
        <v>18</v>
      </c>
      <c r="F906" t="s">
        <v>38</v>
      </c>
      <c r="G906" t="s">
        <v>20</v>
      </c>
      <c r="H906">
        <v>105155</v>
      </c>
      <c r="I906">
        <v>14</v>
      </c>
      <c r="J906">
        <v>3</v>
      </c>
      <c r="K906" t="s">
        <v>29</v>
      </c>
      <c r="L906" t="s">
        <v>45</v>
      </c>
      <c r="M906">
        <v>13</v>
      </c>
      <c r="N906" t="s">
        <v>29</v>
      </c>
      <c r="O906">
        <v>2</v>
      </c>
    </row>
    <row r="907" spans="1:15" x14ac:dyDescent="0.3">
      <c r="A907" t="s">
        <v>945</v>
      </c>
      <c r="B907">
        <v>26</v>
      </c>
      <c r="C907" t="s">
        <v>24</v>
      </c>
      <c r="D907" t="s">
        <v>44</v>
      </c>
      <c r="E907" t="s">
        <v>50</v>
      </c>
      <c r="F907" t="s">
        <v>36</v>
      </c>
      <c r="G907" t="s">
        <v>28</v>
      </c>
      <c r="H907">
        <v>119246</v>
      </c>
      <c r="I907">
        <v>11</v>
      </c>
      <c r="J907">
        <v>0</v>
      </c>
      <c r="K907" t="s">
        <v>21</v>
      </c>
      <c r="L907" t="s">
        <v>30</v>
      </c>
      <c r="M907">
        <v>65</v>
      </c>
      <c r="N907" t="s">
        <v>29</v>
      </c>
      <c r="O907">
        <v>4</v>
      </c>
    </row>
    <row r="908" spans="1:15" x14ac:dyDescent="0.3">
      <c r="A908" t="s">
        <v>946</v>
      </c>
      <c r="B908">
        <v>26</v>
      </c>
      <c r="C908" t="s">
        <v>16</v>
      </c>
      <c r="D908" t="s">
        <v>17</v>
      </c>
      <c r="E908" t="s">
        <v>41</v>
      </c>
      <c r="F908" t="s">
        <v>38</v>
      </c>
      <c r="G908" t="s">
        <v>28</v>
      </c>
      <c r="H908">
        <v>101731</v>
      </c>
      <c r="I908">
        <v>8</v>
      </c>
      <c r="J908">
        <v>5</v>
      </c>
      <c r="K908" t="s">
        <v>21</v>
      </c>
      <c r="L908" t="s">
        <v>22</v>
      </c>
      <c r="M908">
        <v>24</v>
      </c>
      <c r="N908" t="s">
        <v>29</v>
      </c>
      <c r="O908">
        <v>1</v>
      </c>
    </row>
    <row r="909" spans="1:15" x14ac:dyDescent="0.3">
      <c r="A909" t="s">
        <v>947</v>
      </c>
      <c r="B909">
        <v>23</v>
      </c>
      <c r="C909" t="s">
        <v>24</v>
      </c>
      <c r="D909" t="s">
        <v>32</v>
      </c>
      <c r="E909" t="s">
        <v>18</v>
      </c>
      <c r="F909" t="s">
        <v>36</v>
      </c>
      <c r="G909" t="s">
        <v>20</v>
      </c>
      <c r="H909">
        <v>47689</v>
      </c>
      <c r="I909">
        <v>7</v>
      </c>
      <c r="J909">
        <v>2</v>
      </c>
      <c r="K909" t="s">
        <v>21</v>
      </c>
      <c r="L909" t="s">
        <v>30</v>
      </c>
      <c r="M909">
        <v>54</v>
      </c>
      <c r="N909" t="s">
        <v>29</v>
      </c>
      <c r="O909">
        <v>5</v>
      </c>
    </row>
    <row r="910" spans="1:15" x14ac:dyDescent="0.3">
      <c r="A910" t="s">
        <v>948</v>
      </c>
      <c r="B910">
        <v>27</v>
      </c>
      <c r="C910" t="s">
        <v>16</v>
      </c>
      <c r="D910" t="s">
        <v>32</v>
      </c>
      <c r="E910" t="s">
        <v>18</v>
      </c>
      <c r="F910" t="s">
        <v>38</v>
      </c>
      <c r="G910" t="s">
        <v>20</v>
      </c>
      <c r="H910">
        <v>31154</v>
      </c>
      <c r="I910">
        <v>17</v>
      </c>
      <c r="J910">
        <v>5</v>
      </c>
      <c r="K910" t="s">
        <v>29</v>
      </c>
      <c r="L910" t="s">
        <v>47</v>
      </c>
      <c r="M910">
        <v>84</v>
      </c>
      <c r="N910" t="s">
        <v>21</v>
      </c>
      <c r="O910">
        <v>3</v>
      </c>
    </row>
    <row r="911" spans="1:15" x14ac:dyDescent="0.3">
      <c r="A911" t="s">
        <v>949</v>
      </c>
      <c r="B911">
        <v>28</v>
      </c>
      <c r="C911" t="s">
        <v>16</v>
      </c>
      <c r="D911" t="s">
        <v>32</v>
      </c>
      <c r="E911" t="s">
        <v>50</v>
      </c>
      <c r="F911" t="s">
        <v>27</v>
      </c>
      <c r="G911" t="s">
        <v>20</v>
      </c>
      <c r="H911">
        <v>114948</v>
      </c>
      <c r="I911">
        <v>17</v>
      </c>
      <c r="J911">
        <v>5</v>
      </c>
      <c r="K911" t="s">
        <v>21</v>
      </c>
      <c r="L911" t="s">
        <v>22</v>
      </c>
      <c r="M911">
        <v>85</v>
      </c>
      <c r="N911" t="s">
        <v>21</v>
      </c>
      <c r="O911">
        <v>4</v>
      </c>
    </row>
    <row r="912" spans="1:15" x14ac:dyDescent="0.3">
      <c r="A912" t="s">
        <v>950</v>
      </c>
      <c r="B912">
        <v>35</v>
      </c>
      <c r="C912" t="s">
        <v>16</v>
      </c>
      <c r="D912" t="s">
        <v>35</v>
      </c>
      <c r="E912" t="s">
        <v>41</v>
      </c>
      <c r="F912" t="s">
        <v>19</v>
      </c>
      <c r="G912" t="s">
        <v>28</v>
      </c>
      <c r="H912">
        <v>41341</v>
      </c>
      <c r="I912">
        <v>12</v>
      </c>
      <c r="J912">
        <v>3</v>
      </c>
      <c r="K912" t="s">
        <v>21</v>
      </c>
      <c r="L912" t="s">
        <v>47</v>
      </c>
      <c r="M912">
        <v>26</v>
      </c>
      <c r="N912" t="s">
        <v>21</v>
      </c>
      <c r="O912">
        <v>4</v>
      </c>
    </row>
    <row r="913" spans="1:15" x14ac:dyDescent="0.3">
      <c r="A913" t="s">
        <v>951</v>
      </c>
      <c r="B913">
        <v>49</v>
      </c>
      <c r="C913" t="s">
        <v>16</v>
      </c>
      <c r="D913" t="s">
        <v>25</v>
      </c>
      <c r="E913" t="s">
        <v>18</v>
      </c>
      <c r="F913" t="s">
        <v>19</v>
      </c>
      <c r="G913" t="s">
        <v>28</v>
      </c>
      <c r="H913">
        <v>117554</v>
      </c>
      <c r="I913">
        <v>17</v>
      </c>
      <c r="J913">
        <v>1</v>
      </c>
      <c r="K913" t="s">
        <v>29</v>
      </c>
      <c r="L913" t="s">
        <v>47</v>
      </c>
      <c r="M913">
        <v>17</v>
      </c>
      <c r="N913" t="s">
        <v>29</v>
      </c>
      <c r="O913">
        <v>3</v>
      </c>
    </row>
    <row r="914" spans="1:15" x14ac:dyDescent="0.3">
      <c r="A914" t="s">
        <v>952</v>
      </c>
      <c r="B914">
        <v>53</v>
      </c>
      <c r="C914" t="s">
        <v>24</v>
      </c>
      <c r="D914" t="s">
        <v>32</v>
      </c>
      <c r="E914" t="s">
        <v>18</v>
      </c>
      <c r="F914" t="s">
        <v>27</v>
      </c>
      <c r="G914" t="s">
        <v>20</v>
      </c>
      <c r="H914">
        <v>94681</v>
      </c>
      <c r="I914">
        <v>14</v>
      </c>
      <c r="J914">
        <v>8</v>
      </c>
      <c r="K914" t="s">
        <v>21</v>
      </c>
      <c r="L914" t="s">
        <v>45</v>
      </c>
      <c r="M914">
        <v>16</v>
      </c>
      <c r="N914" t="s">
        <v>29</v>
      </c>
      <c r="O914">
        <v>5</v>
      </c>
    </row>
    <row r="915" spans="1:15" x14ac:dyDescent="0.3">
      <c r="A915" t="s">
        <v>953</v>
      </c>
      <c r="B915">
        <v>50</v>
      </c>
      <c r="C915" t="s">
        <v>16</v>
      </c>
      <c r="D915" t="s">
        <v>44</v>
      </c>
      <c r="E915" t="s">
        <v>41</v>
      </c>
      <c r="F915" t="s">
        <v>27</v>
      </c>
      <c r="G915" t="s">
        <v>28</v>
      </c>
      <c r="H915">
        <v>66330</v>
      </c>
      <c r="I915">
        <v>3</v>
      </c>
      <c r="J915">
        <v>1</v>
      </c>
      <c r="K915" t="s">
        <v>21</v>
      </c>
      <c r="L915" t="s">
        <v>45</v>
      </c>
      <c r="M915">
        <v>14</v>
      </c>
      <c r="N915" t="s">
        <v>21</v>
      </c>
      <c r="O915">
        <v>3</v>
      </c>
    </row>
    <row r="916" spans="1:15" x14ac:dyDescent="0.3">
      <c r="A916" t="s">
        <v>954</v>
      </c>
      <c r="B916">
        <v>59</v>
      </c>
      <c r="C916" t="s">
        <v>16</v>
      </c>
      <c r="D916" t="s">
        <v>44</v>
      </c>
      <c r="E916" t="s">
        <v>26</v>
      </c>
      <c r="F916" t="s">
        <v>19</v>
      </c>
      <c r="G916" t="s">
        <v>20</v>
      </c>
      <c r="H916">
        <v>107759</v>
      </c>
      <c r="I916">
        <v>16</v>
      </c>
      <c r="J916">
        <v>2</v>
      </c>
      <c r="K916" t="s">
        <v>29</v>
      </c>
      <c r="L916" t="s">
        <v>47</v>
      </c>
      <c r="M916">
        <v>69</v>
      </c>
      <c r="N916" t="s">
        <v>21</v>
      </c>
      <c r="O916">
        <v>2</v>
      </c>
    </row>
    <row r="917" spans="1:15" x14ac:dyDescent="0.3">
      <c r="A917" t="s">
        <v>955</v>
      </c>
      <c r="B917">
        <v>47</v>
      </c>
      <c r="C917" t="s">
        <v>24</v>
      </c>
      <c r="D917" t="s">
        <v>32</v>
      </c>
      <c r="E917" t="s">
        <v>18</v>
      </c>
      <c r="F917" t="s">
        <v>27</v>
      </c>
      <c r="G917" t="s">
        <v>20</v>
      </c>
      <c r="H917">
        <v>88416</v>
      </c>
      <c r="I917">
        <v>4</v>
      </c>
      <c r="J917">
        <v>9</v>
      </c>
      <c r="K917" t="s">
        <v>21</v>
      </c>
      <c r="L917" t="s">
        <v>47</v>
      </c>
      <c r="M917">
        <v>34</v>
      </c>
      <c r="N917" t="s">
        <v>29</v>
      </c>
      <c r="O917">
        <v>1</v>
      </c>
    </row>
    <row r="918" spans="1:15" x14ac:dyDescent="0.3">
      <c r="A918" t="s">
        <v>956</v>
      </c>
      <c r="B918">
        <v>56</v>
      </c>
      <c r="C918" t="s">
        <v>16</v>
      </c>
      <c r="D918" t="s">
        <v>32</v>
      </c>
      <c r="E918" t="s">
        <v>33</v>
      </c>
      <c r="F918" t="s">
        <v>36</v>
      </c>
      <c r="G918" t="s">
        <v>20</v>
      </c>
      <c r="H918">
        <v>106807</v>
      </c>
      <c r="I918">
        <v>15</v>
      </c>
      <c r="J918">
        <v>0</v>
      </c>
      <c r="K918" t="s">
        <v>29</v>
      </c>
      <c r="L918" t="s">
        <v>30</v>
      </c>
      <c r="M918">
        <v>12</v>
      </c>
      <c r="N918" t="s">
        <v>21</v>
      </c>
      <c r="O918">
        <v>1</v>
      </c>
    </row>
    <row r="919" spans="1:15" x14ac:dyDescent="0.3">
      <c r="A919" t="s">
        <v>957</v>
      </c>
      <c r="B919">
        <v>49</v>
      </c>
      <c r="C919" t="s">
        <v>24</v>
      </c>
      <c r="D919" t="s">
        <v>44</v>
      </c>
      <c r="E919" t="s">
        <v>41</v>
      </c>
      <c r="F919" t="s">
        <v>38</v>
      </c>
      <c r="G919" t="s">
        <v>20</v>
      </c>
      <c r="H919">
        <v>53313</v>
      </c>
      <c r="I919">
        <v>8</v>
      </c>
      <c r="J919">
        <v>6</v>
      </c>
      <c r="K919" t="s">
        <v>21</v>
      </c>
      <c r="L919" t="s">
        <v>22</v>
      </c>
      <c r="M919">
        <v>25</v>
      </c>
      <c r="N919" t="s">
        <v>21</v>
      </c>
      <c r="O919">
        <v>5</v>
      </c>
    </row>
    <row r="920" spans="1:15" x14ac:dyDescent="0.3">
      <c r="A920" t="s">
        <v>958</v>
      </c>
      <c r="B920">
        <v>58</v>
      </c>
      <c r="C920" t="s">
        <v>16</v>
      </c>
      <c r="D920" t="s">
        <v>35</v>
      </c>
      <c r="E920" t="s">
        <v>18</v>
      </c>
      <c r="F920" t="s">
        <v>19</v>
      </c>
      <c r="G920" t="s">
        <v>28</v>
      </c>
      <c r="H920">
        <v>66900</v>
      </c>
      <c r="I920">
        <v>9</v>
      </c>
      <c r="J920">
        <v>0</v>
      </c>
      <c r="K920" t="s">
        <v>21</v>
      </c>
      <c r="L920" t="s">
        <v>30</v>
      </c>
      <c r="M920">
        <v>26</v>
      </c>
      <c r="N920" t="s">
        <v>21</v>
      </c>
      <c r="O920">
        <v>3</v>
      </c>
    </row>
    <row r="921" spans="1:15" x14ac:dyDescent="0.3">
      <c r="A921" t="s">
        <v>959</v>
      </c>
      <c r="B921">
        <v>53</v>
      </c>
      <c r="C921" t="s">
        <v>24</v>
      </c>
      <c r="D921" t="s">
        <v>40</v>
      </c>
      <c r="E921" t="s">
        <v>50</v>
      </c>
      <c r="F921" t="s">
        <v>27</v>
      </c>
      <c r="G921" t="s">
        <v>28</v>
      </c>
      <c r="H921">
        <v>98840</v>
      </c>
      <c r="I921">
        <v>17</v>
      </c>
      <c r="J921">
        <v>8</v>
      </c>
      <c r="K921" t="s">
        <v>21</v>
      </c>
      <c r="L921" t="s">
        <v>45</v>
      </c>
      <c r="M921">
        <v>22</v>
      </c>
      <c r="N921" t="s">
        <v>29</v>
      </c>
      <c r="O921">
        <v>4</v>
      </c>
    </row>
    <row r="922" spans="1:15" x14ac:dyDescent="0.3">
      <c r="A922" t="s">
        <v>960</v>
      </c>
      <c r="B922">
        <v>57</v>
      </c>
      <c r="C922" t="s">
        <v>16</v>
      </c>
      <c r="D922" t="s">
        <v>40</v>
      </c>
      <c r="E922" t="s">
        <v>33</v>
      </c>
      <c r="F922" t="s">
        <v>36</v>
      </c>
      <c r="G922" t="s">
        <v>20</v>
      </c>
      <c r="H922">
        <v>54695</v>
      </c>
      <c r="I922">
        <v>16</v>
      </c>
      <c r="J922">
        <v>0</v>
      </c>
      <c r="K922" t="s">
        <v>29</v>
      </c>
      <c r="L922" t="s">
        <v>45</v>
      </c>
      <c r="M922">
        <v>70</v>
      </c>
      <c r="N922" t="s">
        <v>29</v>
      </c>
      <c r="O922">
        <v>4</v>
      </c>
    </row>
    <row r="923" spans="1:15" x14ac:dyDescent="0.3">
      <c r="A923" t="s">
        <v>961</v>
      </c>
      <c r="B923">
        <v>47</v>
      </c>
      <c r="C923" t="s">
        <v>24</v>
      </c>
      <c r="D923" t="s">
        <v>32</v>
      </c>
      <c r="E923" t="s">
        <v>18</v>
      </c>
      <c r="F923" t="s">
        <v>19</v>
      </c>
      <c r="G923" t="s">
        <v>28</v>
      </c>
      <c r="H923">
        <v>50225</v>
      </c>
      <c r="I923">
        <v>17</v>
      </c>
      <c r="J923">
        <v>4</v>
      </c>
      <c r="K923" t="s">
        <v>29</v>
      </c>
      <c r="L923" t="s">
        <v>30</v>
      </c>
      <c r="M923">
        <v>52</v>
      </c>
      <c r="N923" t="s">
        <v>21</v>
      </c>
      <c r="O923">
        <v>4</v>
      </c>
    </row>
    <row r="924" spans="1:15" x14ac:dyDescent="0.3">
      <c r="A924" t="s">
        <v>962</v>
      </c>
      <c r="B924">
        <v>53</v>
      </c>
      <c r="C924" t="s">
        <v>16</v>
      </c>
      <c r="D924" t="s">
        <v>17</v>
      </c>
      <c r="E924" t="s">
        <v>33</v>
      </c>
      <c r="F924" t="s">
        <v>27</v>
      </c>
      <c r="G924" t="s">
        <v>28</v>
      </c>
      <c r="H924">
        <v>106072</v>
      </c>
      <c r="I924">
        <v>6</v>
      </c>
      <c r="J924">
        <v>6</v>
      </c>
      <c r="K924" t="s">
        <v>29</v>
      </c>
      <c r="L924" t="s">
        <v>22</v>
      </c>
      <c r="M924">
        <v>48</v>
      </c>
      <c r="N924" t="s">
        <v>29</v>
      </c>
      <c r="O924">
        <v>2</v>
      </c>
    </row>
    <row r="925" spans="1:15" x14ac:dyDescent="0.3">
      <c r="A925" t="s">
        <v>963</v>
      </c>
      <c r="B925">
        <v>24</v>
      </c>
      <c r="C925" t="s">
        <v>16</v>
      </c>
      <c r="D925" t="s">
        <v>32</v>
      </c>
      <c r="E925" t="s">
        <v>33</v>
      </c>
      <c r="F925" t="s">
        <v>19</v>
      </c>
      <c r="G925" t="s">
        <v>20</v>
      </c>
      <c r="H925">
        <v>116367</v>
      </c>
      <c r="I925">
        <v>3</v>
      </c>
      <c r="J925">
        <v>2</v>
      </c>
      <c r="K925" t="s">
        <v>21</v>
      </c>
      <c r="L925" t="s">
        <v>47</v>
      </c>
      <c r="M925">
        <v>13</v>
      </c>
      <c r="N925" t="s">
        <v>21</v>
      </c>
      <c r="O925">
        <v>2</v>
      </c>
    </row>
    <row r="926" spans="1:15" x14ac:dyDescent="0.3">
      <c r="A926" t="s">
        <v>964</v>
      </c>
      <c r="B926">
        <v>42</v>
      </c>
      <c r="C926" t="s">
        <v>24</v>
      </c>
      <c r="D926" t="s">
        <v>32</v>
      </c>
      <c r="E926" t="s">
        <v>26</v>
      </c>
      <c r="F926" t="s">
        <v>27</v>
      </c>
      <c r="G926" t="s">
        <v>28</v>
      </c>
      <c r="H926">
        <v>69156</v>
      </c>
      <c r="I926">
        <v>4</v>
      </c>
      <c r="J926">
        <v>8</v>
      </c>
      <c r="K926" t="s">
        <v>21</v>
      </c>
      <c r="L926" t="s">
        <v>30</v>
      </c>
      <c r="M926">
        <v>71</v>
      </c>
      <c r="N926" t="s">
        <v>21</v>
      </c>
      <c r="O926">
        <v>4</v>
      </c>
    </row>
    <row r="927" spans="1:15" x14ac:dyDescent="0.3">
      <c r="A927" t="s">
        <v>965</v>
      </c>
      <c r="B927">
        <v>22</v>
      </c>
      <c r="C927" t="s">
        <v>24</v>
      </c>
      <c r="D927" t="s">
        <v>40</v>
      </c>
      <c r="E927" t="s">
        <v>33</v>
      </c>
      <c r="F927" t="s">
        <v>19</v>
      </c>
      <c r="G927" t="s">
        <v>20</v>
      </c>
      <c r="H927">
        <v>97209</v>
      </c>
      <c r="I927">
        <v>15</v>
      </c>
      <c r="J927">
        <v>7</v>
      </c>
      <c r="K927" t="s">
        <v>29</v>
      </c>
      <c r="L927" t="s">
        <v>45</v>
      </c>
      <c r="M927">
        <v>58</v>
      </c>
      <c r="N927" t="s">
        <v>29</v>
      </c>
      <c r="O927">
        <v>5</v>
      </c>
    </row>
    <row r="928" spans="1:15" x14ac:dyDescent="0.3">
      <c r="A928" t="s">
        <v>966</v>
      </c>
      <c r="B928">
        <v>30</v>
      </c>
      <c r="C928" t="s">
        <v>24</v>
      </c>
      <c r="D928" t="s">
        <v>44</v>
      </c>
      <c r="E928" t="s">
        <v>26</v>
      </c>
      <c r="F928" t="s">
        <v>36</v>
      </c>
      <c r="G928" t="s">
        <v>20</v>
      </c>
      <c r="H928">
        <v>107453</v>
      </c>
      <c r="I928">
        <v>2</v>
      </c>
      <c r="J928">
        <v>2</v>
      </c>
      <c r="K928" t="s">
        <v>29</v>
      </c>
      <c r="L928" t="s">
        <v>22</v>
      </c>
      <c r="M928">
        <v>30</v>
      </c>
      <c r="N928" t="s">
        <v>29</v>
      </c>
      <c r="O928">
        <v>2</v>
      </c>
    </row>
    <row r="929" spans="1:15" x14ac:dyDescent="0.3">
      <c r="A929" t="s">
        <v>967</v>
      </c>
      <c r="B929">
        <v>25</v>
      </c>
      <c r="C929" t="s">
        <v>24</v>
      </c>
      <c r="D929" t="s">
        <v>32</v>
      </c>
      <c r="E929" t="s">
        <v>41</v>
      </c>
      <c r="F929" t="s">
        <v>36</v>
      </c>
      <c r="G929" t="s">
        <v>20</v>
      </c>
      <c r="H929">
        <v>47829</v>
      </c>
      <c r="I929">
        <v>17</v>
      </c>
      <c r="J929">
        <v>4</v>
      </c>
      <c r="K929" t="s">
        <v>21</v>
      </c>
      <c r="L929" t="s">
        <v>45</v>
      </c>
      <c r="M929">
        <v>89</v>
      </c>
      <c r="N929" t="s">
        <v>29</v>
      </c>
      <c r="O929">
        <v>2</v>
      </c>
    </row>
    <row r="930" spans="1:15" x14ac:dyDescent="0.3">
      <c r="A930" t="s">
        <v>968</v>
      </c>
      <c r="B930">
        <v>30</v>
      </c>
      <c r="C930" t="s">
        <v>16</v>
      </c>
      <c r="D930" t="s">
        <v>44</v>
      </c>
      <c r="E930" t="s">
        <v>26</v>
      </c>
      <c r="F930" t="s">
        <v>38</v>
      </c>
      <c r="G930" t="s">
        <v>20</v>
      </c>
      <c r="H930">
        <v>100908</v>
      </c>
      <c r="I930">
        <v>13</v>
      </c>
      <c r="J930">
        <v>6</v>
      </c>
      <c r="K930" t="s">
        <v>21</v>
      </c>
      <c r="L930" t="s">
        <v>22</v>
      </c>
      <c r="M930">
        <v>98</v>
      </c>
      <c r="N930" t="s">
        <v>21</v>
      </c>
      <c r="O930">
        <v>1</v>
      </c>
    </row>
    <row r="931" spans="1:15" x14ac:dyDescent="0.3">
      <c r="A931" t="s">
        <v>969</v>
      </c>
      <c r="B931">
        <v>53</v>
      </c>
      <c r="C931" t="s">
        <v>16</v>
      </c>
      <c r="D931" t="s">
        <v>44</v>
      </c>
      <c r="E931" t="s">
        <v>50</v>
      </c>
      <c r="F931" t="s">
        <v>19</v>
      </c>
      <c r="G931" t="s">
        <v>28</v>
      </c>
      <c r="H931">
        <v>45938</v>
      </c>
      <c r="I931">
        <v>14</v>
      </c>
      <c r="J931">
        <v>3</v>
      </c>
      <c r="K931" t="s">
        <v>21</v>
      </c>
      <c r="L931" t="s">
        <v>22</v>
      </c>
      <c r="M931">
        <v>96</v>
      </c>
      <c r="N931" t="s">
        <v>21</v>
      </c>
      <c r="O931">
        <v>1</v>
      </c>
    </row>
    <row r="932" spans="1:15" x14ac:dyDescent="0.3">
      <c r="A932" t="s">
        <v>970</v>
      </c>
      <c r="B932">
        <v>58</v>
      </c>
      <c r="C932" t="s">
        <v>24</v>
      </c>
      <c r="D932" t="s">
        <v>17</v>
      </c>
      <c r="E932" t="s">
        <v>18</v>
      </c>
      <c r="F932" t="s">
        <v>38</v>
      </c>
      <c r="G932" t="s">
        <v>20</v>
      </c>
      <c r="H932">
        <v>79164</v>
      </c>
      <c r="I932">
        <v>16</v>
      </c>
      <c r="J932">
        <v>4</v>
      </c>
      <c r="K932" t="s">
        <v>21</v>
      </c>
      <c r="L932" t="s">
        <v>22</v>
      </c>
      <c r="M932">
        <v>30</v>
      </c>
      <c r="N932" t="s">
        <v>21</v>
      </c>
      <c r="O932">
        <v>5</v>
      </c>
    </row>
    <row r="933" spans="1:15" x14ac:dyDescent="0.3">
      <c r="A933" t="s">
        <v>971</v>
      </c>
      <c r="B933">
        <v>33</v>
      </c>
      <c r="C933" t="s">
        <v>16</v>
      </c>
      <c r="D933" t="s">
        <v>44</v>
      </c>
      <c r="E933" t="s">
        <v>41</v>
      </c>
      <c r="F933" t="s">
        <v>19</v>
      </c>
      <c r="G933" t="s">
        <v>28</v>
      </c>
      <c r="H933">
        <v>74530</v>
      </c>
      <c r="I933">
        <v>0</v>
      </c>
      <c r="J933">
        <v>2</v>
      </c>
      <c r="K933" t="s">
        <v>29</v>
      </c>
      <c r="L933" t="s">
        <v>30</v>
      </c>
      <c r="M933">
        <v>38</v>
      </c>
      <c r="N933" t="s">
        <v>29</v>
      </c>
      <c r="O933">
        <v>2</v>
      </c>
    </row>
    <row r="934" spans="1:15" x14ac:dyDescent="0.3">
      <c r="A934" t="s">
        <v>972</v>
      </c>
      <c r="B934">
        <v>51</v>
      </c>
      <c r="C934" t="s">
        <v>24</v>
      </c>
      <c r="D934" t="s">
        <v>40</v>
      </c>
      <c r="E934" t="s">
        <v>41</v>
      </c>
      <c r="F934" t="s">
        <v>27</v>
      </c>
      <c r="G934" t="s">
        <v>20</v>
      </c>
      <c r="H934">
        <v>88199</v>
      </c>
      <c r="I934">
        <v>16</v>
      </c>
      <c r="J934">
        <v>8</v>
      </c>
      <c r="K934" t="s">
        <v>21</v>
      </c>
      <c r="L934" t="s">
        <v>30</v>
      </c>
      <c r="M934">
        <v>12</v>
      </c>
      <c r="N934" t="s">
        <v>21</v>
      </c>
      <c r="O934">
        <v>2</v>
      </c>
    </row>
    <row r="935" spans="1:15" x14ac:dyDescent="0.3">
      <c r="A935" t="s">
        <v>973</v>
      </c>
      <c r="B935">
        <v>56</v>
      </c>
      <c r="C935" t="s">
        <v>24</v>
      </c>
      <c r="D935" t="s">
        <v>35</v>
      </c>
      <c r="E935" t="s">
        <v>50</v>
      </c>
      <c r="F935" t="s">
        <v>27</v>
      </c>
      <c r="G935" t="s">
        <v>20</v>
      </c>
      <c r="H935">
        <v>80282</v>
      </c>
      <c r="I935">
        <v>10</v>
      </c>
      <c r="J935">
        <v>9</v>
      </c>
      <c r="K935" t="s">
        <v>21</v>
      </c>
      <c r="L935" t="s">
        <v>30</v>
      </c>
      <c r="M935">
        <v>14</v>
      </c>
      <c r="N935" t="s">
        <v>21</v>
      </c>
      <c r="O935">
        <v>3</v>
      </c>
    </row>
    <row r="936" spans="1:15" x14ac:dyDescent="0.3">
      <c r="A936" t="s">
        <v>974</v>
      </c>
      <c r="B936">
        <v>44</v>
      </c>
      <c r="C936" t="s">
        <v>16</v>
      </c>
      <c r="D936" t="s">
        <v>35</v>
      </c>
      <c r="E936" t="s">
        <v>26</v>
      </c>
      <c r="F936" t="s">
        <v>38</v>
      </c>
      <c r="G936" t="s">
        <v>28</v>
      </c>
      <c r="H936">
        <v>67801</v>
      </c>
      <c r="I936">
        <v>16</v>
      </c>
      <c r="J936">
        <v>8</v>
      </c>
      <c r="K936" t="s">
        <v>21</v>
      </c>
      <c r="L936" t="s">
        <v>22</v>
      </c>
      <c r="M936">
        <v>52</v>
      </c>
      <c r="N936" t="s">
        <v>21</v>
      </c>
      <c r="O936">
        <v>5</v>
      </c>
    </row>
    <row r="937" spans="1:15" x14ac:dyDescent="0.3">
      <c r="A937" t="s">
        <v>975</v>
      </c>
      <c r="B937">
        <v>35</v>
      </c>
      <c r="C937" t="s">
        <v>16</v>
      </c>
      <c r="D937" t="s">
        <v>25</v>
      </c>
      <c r="E937" t="s">
        <v>18</v>
      </c>
      <c r="F937" t="s">
        <v>19</v>
      </c>
      <c r="G937" t="s">
        <v>20</v>
      </c>
      <c r="H937">
        <v>29465</v>
      </c>
      <c r="I937">
        <v>13</v>
      </c>
      <c r="J937">
        <v>6</v>
      </c>
      <c r="K937" t="s">
        <v>21</v>
      </c>
      <c r="L937" t="s">
        <v>22</v>
      </c>
      <c r="M937">
        <v>59</v>
      </c>
      <c r="N937" t="s">
        <v>21</v>
      </c>
      <c r="O937">
        <v>5</v>
      </c>
    </row>
    <row r="938" spans="1:15" x14ac:dyDescent="0.3">
      <c r="A938" t="s">
        <v>976</v>
      </c>
      <c r="B938">
        <v>49</v>
      </c>
      <c r="C938" t="s">
        <v>16</v>
      </c>
      <c r="D938" t="s">
        <v>32</v>
      </c>
      <c r="E938" t="s">
        <v>26</v>
      </c>
      <c r="F938" t="s">
        <v>38</v>
      </c>
      <c r="G938" t="s">
        <v>28</v>
      </c>
      <c r="H938">
        <v>23326</v>
      </c>
      <c r="I938">
        <v>19</v>
      </c>
      <c r="J938">
        <v>9</v>
      </c>
      <c r="K938" t="s">
        <v>21</v>
      </c>
      <c r="L938" t="s">
        <v>45</v>
      </c>
      <c r="M938">
        <v>58</v>
      </c>
      <c r="N938" t="s">
        <v>29</v>
      </c>
      <c r="O938">
        <v>3</v>
      </c>
    </row>
    <row r="939" spans="1:15" x14ac:dyDescent="0.3">
      <c r="A939" t="s">
        <v>977</v>
      </c>
      <c r="B939">
        <v>28</v>
      </c>
      <c r="C939" t="s">
        <v>16</v>
      </c>
      <c r="D939" t="s">
        <v>40</v>
      </c>
      <c r="E939" t="s">
        <v>33</v>
      </c>
      <c r="F939" t="s">
        <v>36</v>
      </c>
      <c r="G939" t="s">
        <v>28</v>
      </c>
      <c r="H939">
        <v>23659</v>
      </c>
      <c r="I939">
        <v>18</v>
      </c>
      <c r="J939">
        <v>1</v>
      </c>
      <c r="K939" t="s">
        <v>21</v>
      </c>
      <c r="L939" t="s">
        <v>47</v>
      </c>
      <c r="M939">
        <v>82</v>
      </c>
      <c r="N939" t="s">
        <v>29</v>
      </c>
      <c r="O939">
        <v>3</v>
      </c>
    </row>
    <row r="940" spans="1:15" x14ac:dyDescent="0.3">
      <c r="A940" t="s">
        <v>978</v>
      </c>
      <c r="B940">
        <v>25</v>
      </c>
      <c r="C940" t="s">
        <v>16</v>
      </c>
      <c r="D940" t="s">
        <v>44</v>
      </c>
      <c r="E940" t="s">
        <v>26</v>
      </c>
      <c r="F940" t="s">
        <v>38</v>
      </c>
      <c r="G940" t="s">
        <v>20</v>
      </c>
      <c r="H940">
        <v>80289</v>
      </c>
      <c r="I940">
        <v>6</v>
      </c>
      <c r="J940">
        <v>6</v>
      </c>
      <c r="K940" t="s">
        <v>21</v>
      </c>
      <c r="L940" t="s">
        <v>30</v>
      </c>
      <c r="M940">
        <v>44</v>
      </c>
      <c r="N940" t="s">
        <v>29</v>
      </c>
      <c r="O940">
        <v>1</v>
      </c>
    </row>
    <row r="941" spans="1:15" x14ac:dyDescent="0.3">
      <c r="A941" t="s">
        <v>979</v>
      </c>
      <c r="B941">
        <v>49</v>
      </c>
      <c r="C941" t="s">
        <v>16</v>
      </c>
      <c r="D941" t="s">
        <v>35</v>
      </c>
      <c r="E941" t="s">
        <v>41</v>
      </c>
      <c r="F941" t="s">
        <v>38</v>
      </c>
      <c r="G941" t="s">
        <v>20</v>
      </c>
      <c r="H941">
        <v>47594</v>
      </c>
      <c r="I941">
        <v>12</v>
      </c>
      <c r="J941">
        <v>6</v>
      </c>
      <c r="K941" t="s">
        <v>29</v>
      </c>
      <c r="L941" t="s">
        <v>22</v>
      </c>
      <c r="M941">
        <v>19</v>
      </c>
      <c r="N941" t="s">
        <v>21</v>
      </c>
      <c r="O941">
        <v>5</v>
      </c>
    </row>
    <row r="942" spans="1:15" x14ac:dyDescent="0.3">
      <c r="A942" t="s">
        <v>980</v>
      </c>
      <c r="B942">
        <v>24</v>
      </c>
      <c r="C942" t="s">
        <v>16</v>
      </c>
      <c r="D942" t="s">
        <v>40</v>
      </c>
      <c r="E942" t="s">
        <v>18</v>
      </c>
      <c r="F942" t="s">
        <v>27</v>
      </c>
      <c r="G942" t="s">
        <v>20</v>
      </c>
      <c r="H942">
        <v>24763</v>
      </c>
      <c r="I942">
        <v>17</v>
      </c>
      <c r="J942">
        <v>4</v>
      </c>
      <c r="K942" t="s">
        <v>29</v>
      </c>
      <c r="L942" t="s">
        <v>45</v>
      </c>
      <c r="M942">
        <v>85</v>
      </c>
      <c r="N942" t="s">
        <v>21</v>
      </c>
      <c r="O942">
        <v>5</v>
      </c>
    </row>
    <row r="943" spans="1:15" x14ac:dyDescent="0.3">
      <c r="A943" t="s">
        <v>981</v>
      </c>
      <c r="B943">
        <v>32</v>
      </c>
      <c r="C943" t="s">
        <v>24</v>
      </c>
      <c r="D943" t="s">
        <v>35</v>
      </c>
      <c r="E943" t="s">
        <v>26</v>
      </c>
      <c r="F943" t="s">
        <v>38</v>
      </c>
      <c r="G943" t="s">
        <v>20</v>
      </c>
      <c r="H943">
        <v>108657</v>
      </c>
      <c r="I943">
        <v>13</v>
      </c>
      <c r="J943">
        <v>8</v>
      </c>
      <c r="K943" t="s">
        <v>29</v>
      </c>
      <c r="L943" t="s">
        <v>45</v>
      </c>
      <c r="M943">
        <v>22</v>
      </c>
      <c r="N943" t="s">
        <v>21</v>
      </c>
      <c r="O943">
        <v>3</v>
      </c>
    </row>
    <row r="944" spans="1:15" x14ac:dyDescent="0.3">
      <c r="A944" t="s">
        <v>982</v>
      </c>
      <c r="B944">
        <v>22</v>
      </c>
      <c r="C944" t="s">
        <v>24</v>
      </c>
      <c r="D944" t="s">
        <v>44</v>
      </c>
      <c r="E944" t="s">
        <v>18</v>
      </c>
      <c r="F944" t="s">
        <v>19</v>
      </c>
      <c r="G944" t="s">
        <v>20</v>
      </c>
      <c r="H944">
        <v>30828</v>
      </c>
      <c r="I944">
        <v>0</v>
      </c>
      <c r="J944">
        <v>2</v>
      </c>
      <c r="K944" t="s">
        <v>21</v>
      </c>
      <c r="L944" t="s">
        <v>45</v>
      </c>
      <c r="M944">
        <v>27</v>
      </c>
      <c r="N944" t="s">
        <v>29</v>
      </c>
      <c r="O944">
        <v>4</v>
      </c>
    </row>
    <row r="945" spans="1:15" x14ac:dyDescent="0.3">
      <c r="A945" t="s">
        <v>983</v>
      </c>
      <c r="B945">
        <v>47</v>
      </c>
      <c r="C945" t="s">
        <v>24</v>
      </c>
      <c r="D945" t="s">
        <v>35</v>
      </c>
      <c r="E945" t="s">
        <v>18</v>
      </c>
      <c r="F945" t="s">
        <v>27</v>
      </c>
      <c r="G945" t="s">
        <v>20</v>
      </c>
      <c r="H945">
        <v>67588</v>
      </c>
      <c r="I945">
        <v>6</v>
      </c>
      <c r="J945">
        <v>3</v>
      </c>
      <c r="K945" t="s">
        <v>29</v>
      </c>
      <c r="L945" t="s">
        <v>30</v>
      </c>
      <c r="M945">
        <v>66</v>
      </c>
      <c r="N945" t="s">
        <v>29</v>
      </c>
      <c r="O945">
        <v>4</v>
      </c>
    </row>
    <row r="946" spans="1:15" x14ac:dyDescent="0.3">
      <c r="A946" t="s">
        <v>984</v>
      </c>
      <c r="B946">
        <v>51</v>
      </c>
      <c r="C946" t="s">
        <v>24</v>
      </c>
      <c r="D946" t="s">
        <v>32</v>
      </c>
      <c r="E946" t="s">
        <v>33</v>
      </c>
      <c r="F946" t="s">
        <v>38</v>
      </c>
      <c r="G946" t="s">
        <v>28</v>
      </c>
      <c r="H946">
        <v>31221</v>
      </c>
      <c r="I946">
        <v>7</v>
      </c>
      <c r="J946">
        <v>0</v>
      </c>
      <c r="K946" t="s">
        <v>21</v>
      </c>
      <c r="L946" t="s">
        <v>30</v>
      </c>
      <c r="M946">
        <v>50</v>
      </c>
      <c r="N946" t="s">
        <v>29</v>
      </c>
      <c r="O946">
        <v>1</v>
      </c>
    </row>
    <row r="947" spans="1:15" x14ac:dyDescent="0.3">
      <c r="A947" t="s">
        <v>985</v>
      </c>
      <c r="B947">
        <v>56</v>
      </c>
      <c r="C947" t="s">
        <v>24</v>
      </c>
      <c r="D947" t="s">
        <v>32</v>
      </c>
      <c r="E947" t="s">
        <v>33</v>
      </c>
      <c r="F947" t="s">
        <v>36</v>
      </c>
      <c r="G947" t="s">
        <v>28</v>
      </c>
      <c r="H947">
        <v>31211</v>
      </c>
      <c r="I947">
        <v>17</v>
      </c>
      <c r="J947">
        <v>5</v>
      </c>
      <c r="K947" t="s">
        <v>21</v>
      </c>
      <c r="L947" t="s">
        <v>47</v>
      </c>
      <c r="M947">
        <v>91</v>
      </c>
      <c r="N947" t="s">
        <v>29</v>
      </c>
      <c r="O947">
        <v>4</v>
      </c>
    </row>
    <row r="948" spans="1:15" x14ac:dyDescent="0.3">
      <c r="A948" t="s">
        <v>986</v>
      </c>
      <c r="B948">
        <v>56</v>
      </c>
      <c r="C948" t="s">
        <v>16</v>
      </c>
      <c r="D948" t="s">
        <v>25</v>
      </c>
      <c r="E948" t="s">
        <v>41</v>
      </c>
      <c r="F948" t="s">
        <v>38</v>
      </c>
      <c r="G948" t="s">
        <v>20</v>
      </c>
      <c r="H948">
        <v>33569</v>
      </c>
      <c r="I948">
        <v>8</v>
      </c>
      <c r="J948">
        <v>3</v>
      </c>
      <c r="K948" t="s">
        <v>21</v>
      </c>
      <c r="L948" t="s">
        <v>45</v>
      </c>
      <c r="M948">
        <v>43</v>
      </c>
      <c r="N948" t="s">
        <v>29</v>
      </c>
      <c r="O948">
        <v>4</v>
      </c>
    </row>
    <row r="949" spans="1:15" x14ac:dyDescent="0.3">
      <c r="A949" t="s">
        <v>987</v>
      </c>
      <c r="B949">
        <v>46</v>
      </c>
      <c r="C949" t="s">
        <v>24</v>
      </c>
      <c r="D949" t="s">
        <v>25</v>
      </c>
      <c r="E949" t="s">
        <v>50</v>
      </c>
      <c r="F949" t="s">
        <v>38</v>
      </c>
      <c r="G949" t="s">
        <v>28</v>
      </c>
      <c r="H949">
        <v>116894</v>
      </c>
      <c r="I949">
        <v>0</v>
      </c>
      <c r="J949">
        <v>0</v>
      </c>
      <c r="K949" t="s">
        <v>21</v>
      </c>
      <c r="L949" t="s">
        <v>30</v>
      </c>
      <c r="M949">
        <v>19</v>
      </c>
      <c r="N949" t="s">
        <v>21</v>
      </c>
      <c r="O949">
        <v>4</v>
      </c>
    </row>
    <row r="950" spans="1:15" x14ac:dyDescent="0.3">
      <c r="A950" t="s">
        <v>988</v>
      </c>
      <c r="B950">
        <v>47</v>
      </c>
      <c r="C950" t="s">
        <v>24</v>
      </c>
      <c r="D950" t="s">
        <v>35</v>
      </c>
      <c r="E950" t="s">
        <v>18</v>
      </c>
      <c r="F950" t="s">
        <v>38</v>
      </c>
      <c r="G950" t="s">
        <v>28</v>
      </c>
      <c r="H950">
        <v>57860</v>
      </c>
      <c r="I950">
        <v>16</v>
      </c>
      <c r="J950">
        <v>1</v>
      </c>
      <c r="K950" t="s">
        <v>29</v>
      </c>
      <c r="L950" t="s">
        <v>45</v>
      </c>
      <c r="M950">
        <v>57</v>
      </c>
      <c r="N950" t="s">
        <v>29</v>
      </c>
      <c r="O950">
        <v>2</v>
      </c>
    </row>
    <row r="951" spans="1:15" x14ac:dyDescent="0.3">
      <c r="A951" t="s">
        <v>989</v>
      </c>
      <c r="B951">
        <v>25</v>
      </c>
      <c r="C951" t="s">
        <v>24</v>
      </c>
      <c r="D951" t="s">
        <v>40</v>
      </c>
      <c r="E951" t="s">
        <v>50</v>
      </c>
      <c r="F951" t="s">
        <v>27</v>
      </c>
      <c r="G951" t="s">
        <v>20</v>
      </c>
      <c r="H951">
        <v>91558</v>
      </c>
      <c r="I951">
        <v>18</v>
      </c>
      <c r="J951">
        <v>2</v>
      </c>
      <c r="K951" t="s">
        <v>21</v>
      </c>
      <c r="L951" t="s">
        <v>22</v>
      </c>
      <c r="M951">
        <v>92</v>
      </c>
      <c r="N951" t="s">
        <v>29</v>
      </c>
      <c r="O951">
        <v>1</v>
      </c>
    </row>
    <row r="952" spans="1:15" x14ac:dyDescent="0.3">
      <c r="A952" t="s">
        <v>990</v>
      </c>
      <c r="B952">
        <v>40</v>
      </c>
      <c r="C952" t="s">
        <v>24</v>
      </c>
      <c r="D952" t="s">
        <v>32</v>
      </c>
      <c r="E952" t="s">
        <v>41</v>
      </c>
      <c r="F952" t="s">
        <v>19</v>
      </c>
      <c r="G952" t="s">
        <v>20</v>
      </c>
      <c r="H952">
        <v>65337</v>
      </c>
      <c r="I952">
        <v>5</v>
      </c>
      <c r="J952">
        <v>8</v>
      </c>
      <c r="K952" t="s">
        <v>21</v>
      </c>
      <c r="L952" t="s">
        <v>45</v>
      </c>
      <c r="M952">
        <v>68</v>
      </c>
      <c r="N952" t="s">
        <v>29</v>
      </c>
      <c r="O952">
        <v>3</v>
      </c>
    </row>
    <row r="953" spans="1:15" x14ac:dyDescent="0.3">
      <c r="A953" t="s">
        <v>991</v>
      </c>
      <c r="B953">
        <v>31</v>
      </c>
      <c r="C953" t="s">
        <v>24</v>
      </c>
      <c r="D953" t="s">
        <v>40</v>
      </c>
      <c r="E953" t="s">
        <v>18</v>
      </c>
      <c r="F953" t="s">
        <v>36</v>
      </c>
      <c r="G953" t="s">
        <v>28</v>
      </c>
      <c r="H953">
        <v>72311</v>
      </c>
      <c r="I953">
        <v>2</v>
      </c>
      <c r="J953">
        <v>7</v>
      </c>
      <c r="K953" t="s">
        <v>29</v>
      </c>
      <c r="L953" t="s">
        <v>47</v>
      </c>
      <c r="M953">
        <v>67</v>
      </c>
      <c r="N953" t="s">
        <v>21</v>
      </c>
      <c r="O953">
        <v>4</v>
      </c>
    </row>
    <row r="954" spans="1:15" x14ac:dyDescent="0.3">
      <c r="A954" t="s">
        <v>992</v>
      </c>
      <c r="B954">
        <v>30</v>
      </c>
      <c r="C954" t="s">
        <v>24</v>
      </c>
      <c r="D954" t="s">
        <v>40</v>
      </c>
      <c r="E954" t="s">
        <v>18</v>
      </c>
      <c r="F954" t="s">
        <v>38</v>
      </c>
      <c r="G954" t="s">
        <v>20</v>
      </c>
      <c r="H954">
        <v>33515</v>
      </c>
      <c r="I954">
        <v>4</v>
      </c>
      <c r="J954">
        <v>6</v>
      </c>
      <c r="K954" t="s">
        <v>29</v>
      </c>
      <c r="L954" t="s">
        <v>30</v>
      </c>
      <c r="M954">
        <v>96</v>
      </c>
      <c r="N954" t="s">
        <v>29</v>
      </c>
      <c r="O954">
        <v>2</v>
      </c>
    </row>
    <row r="955" spans="1:15" x14ac:dyDescent="0.3">
      <c r="A955" t="s">
        <v>993</v>
      </c>
      <c r="B955">
        <v>58</v>
      </c>
      <c r="C955" t="s">
        <v>24</v>
      </c>
      <c r="D955" t="s">
        <v>35</v>
      </c>
      <c r="E955" t="s">
        <v>50</v>
      </c>
      <c r="F955" t="s">
        <v>19</v>
      </c>
      <c r="G955" t="s">
        <v>28</v>
      </c>
      <c r="H955">
        <v>91695</v>
      </c>
      <c r="I955">
        <v>1</v>
      </c>
      <c r="J955">
        <v>3</v>
      </c>
      <c r="K955" t="s">
        <v>29</v>
      </c>
      <c r="L955" t="s">
        <v>22</v>
      </c>
      <c r="M955">
        <v>84</v>
      </c>
      <c r="N955" t="s">
        <v>29</v>
      </c>
      <c r="O955">
        <v>4</v>
      </c>
    </row>
    <row r="956" spans="1:15" x14ac:dyDescent="0.3">
      <c r="A956" t="s">
        <v>994</v>
      </c>
      <c r="B956">
        <v>26</v>
      </c>
      <c r="C956" t="s">
        <v>16</v>
      </c>
      <c r="D956" t="s">
        <v>40</v>
      </c>
      <c r="E956" t="s">
        <v>26</v>
      </c>
      <c r="F956" t="s">
        <v>19</v>
      </c>
      <c r="G956" t="s">
        <v>20</v>
      </c>
      <c r="H956">
        <v>107227</v>
      </c>
      <c r="I956">
        <v>19</v>
      </c>
      <c r="J956">
        <v>0</v>
      </c>
      <c r="K956" t="s">
        <v>21</v>
      </c>
      <c r="L956" t="s">
        <v>30</v>
      </c>
      <c r="M956">
        <v>20</v>
      </c>
      <c r="N956" t="s">
        <v>29</v>
      </c>
      <c r="O956">
        <v>2</v>
      </c>
    </row>
    <row r="957" spans="1:15" x14ac:dyDescent="0.3">
      <c r="A957" t="s">
        <v>995</v>
      </c>
      <c r="B957">
        <v>28</v>
      </c>
      <c r="C957" t="s">
        <v>16</v>
      </c>
      <c r="D957" t="s">
        <v>32</v>
      </c>
      <c r="E957" t="s">
        <v>33</v>
      </c>
      <c r="F957" t="s">
        <v>27</v>
      </c>
      <c r="G957" t="s">
        <v>28</v>
      </c>
      <c r="H957">
        <v>44904</v>
      </c>
      <c r="I957">
        <v>3</v>
      </c>
      <c r="J957">
        <v>7</v>
      </c>
      <c r="K957" t="s">
        <v>29</v>
      </c>
      <c r="L957" t="s">
        <v>22</v>
      </c>
      <c r="M957">
        <v>74</v>
      </c>
      <c r="N957" t="s">
        <v>21</v>
      </c>
      <c r="O957">
        <v>1</v>
      </c>
    </row>
    <row r="958" spans="1:15" x14ac:dyDescent="0.3">
      <c r="A958" t="s">
        <v>996</v>
      </c>
      <c r="B958">
        <v>43</v>
      </c>
      <c r="C958" t="s">
        <v>24</v>
      </c>
      <c r="D958" t="s">
        <v>44</v>
      </c>
      <c r="E958" t="s">
        <v>26</v>
      </c>
      <c r="F958" t="s">
        <v>36</v>
      </c>
      <c r="G958" t="s">
        <v>28</v>
      </c>
      <c r="H958">
        <v>79935</v>
      </c>
      <c r="I958">
        <v>9</v>
      </c>
      <c r="J958">
        <v>3</v>
      </c>
      <c r="K958" t="s">
        <v>21</v>
      </c>
      <c r="L958" t="s">
        <v>45</v>
      </c>
      <c r="M958">
        <v>70</v>
      </c>
      <c r="N958" t="s">
        <v>21</v>
      </c>
      <c r="O958">
        <v>4</v>
      </c>
    </row>
    <row r="959" spans="1:15" x14ac:dyDescent="0.3">
      <c r="A959" t="s">
        <v>997</v>
      </c>
      <c r="B959">
        <v>46</v>
      </c>
      <c r="C959" t="s">
        <v>16</v>
      </c>
      <c r="D959" t="s">
        <v>25</v>
      </c>
      <c r="E959" t="s">
        <v>50</v>
      </c>
      <c r="F959" t="s">
        <v>27</v>
      </c>
      <c r="G959" t="s">
        <v>28</v>
      </c>
      <c r="H959">
        <v>63790</v>
      </c>
      <c r="I959">
        <v>9</v>
      </c>
      <c r="J959">
        <v>2</v>
      </c>
      <c r="K959" t="s">
        <v>21</v>
      </c>
      <c r="L959" t="s">
        <v>45</v>
      </c>
      <c r="M959">
        <v>17</v>
      </c>
      <c r="N959" t="s">
        <v>29</v>
      </c>
      <c r="O959">
        <v>2</v>
      </c>
    </row>
    <row r="960" spans="1:15" x14ac:dyDescent="0.3">
      <c r="A960" t="s">
        <v>998</v>
      </c>
      <c r="B960">
        <v>32</v>
      </c>
      <c r="C960" t="s">
        <v>16</v>
      </c>
      <c r="D960" t="s">
        <v>44</v>
      </c>
      <c r="E960" t="s">
        <v>33</v>
      </c>
      <c r="F960" t="s">
        <v>19</v>
      </c>
      <c r="G960" t="s">
        <v>28</v>
      </c>
      <c r="H960">
        <v>88580</v>
      </c>
      <c r="I960">
        <v>10</v>
      </c>
      <c r="J960">
        <v>8</v>
      </c>
      <c r="K960" t="s">
        <v>29</v>
      </c>
      <c r="L960" t="s">
        <v>47</v>
      </c>
      <c r="M960">
        <v>51</v>
      </c>
      <c r="N960" t="s">
        <v>29</v>
      </c>
      <c r="O960">
        <v>5</v>
      </c>
    </row>
    <row r="961" spans="1:15" x14ac:dyDescent="0.3">
      <c r="A961" t="s">
        <v>999</v>
      </c>
      <c r="B961">
        <v>46</v>
      </c>
      <c r="C961" t="s">
        <v>16</v>
      </c>
      <c r="D961" t="s">
        <v>40</v>
      </c>
      <c r="E961" t="s">
        <v>26</v>
      </c>
      <c r="F961" t="s">
        <v>19</v>
      </c>
      <c r="G961" t="s">
        <v>20</v>
      </c>
      <c r="H961">
        <v>95148</v>
      </c>
      <c r="I961">
        <v>15</v>
      </c>
      <c r="J961">
        <v>9</v>
      </c>
      <c r="K961" t="s">
        <v>29</v>
      </c>
      <c r="L961" t="s">
        <v>47</v>
      </c>
      <c r="M961">
        <v>13</v>
      </c>
      <c r="N961" t="s">
        <v>29</v>
      </c>
      <c r="O961">
        <v>5</v>
      </c>
    </row>
    <row r="962" spans="1:15" x14ac:dyDescent="0.3">
      <c r="A962" t="s">
        <v>1000</v>
      </c>
      <c r="B962">
        <v>33</v>
      </c>
      <c r="C962" t="s">
        <v>16</v>
      </c>
      <c r="D962" t="s">
        <v>44</v>
      </c>
      <c r="E962" t="s">
        <v>33</v>
      </c>
      <c r="F962" t="s">
        <v>19</v>
      </c>
      <c r="G962" t="s">
        <v>20</v>
      </c>
      <c r="H962">
        <v>25636</v>
      </c>
      <c r="I962">
        <v>16</v>
      </c>
      <c r="J962">
        <v>3</v>
      </c>
      <c r="K962" t="s">
        <v>29</v>
      </c>
      <c r="L962" t="s">
        <v>22</v>
      </c>
      <c r="M962">
        <v>67</v>
      </c>
      <c r="N962" t="s">
        <v>29</v>
      </c>
      <c r="O962">
        <v>2</v>
      </c>
    </row>
    <row r="963" spans="1:15" x14ac:dyDescent="0.3">
      <c r="A963" t="s">
        <v>1001</v>
      </c>
      <c r="B963">
        <v>38</v>
      </c>
      <c r="C963" t="s">
        <v>24</v>
      </c>
      <c r="D963" t="s">
        <v>32</v>
      </c>
      <c r="E963" t="s">
        <v>18</v>
      </c>
      <c r="F963" t="s">
        <v>27</v>
      </c>
      <c r="G963" t="s">
        <v>28</v>
      </c>
      <c r="H963">
        <v>97129</v>
      </c>
      <c r="I963">
        <v>15</v>
      </c>
      <c r="J963">
        <v>3</v>
      </c>
      <c r="K963" t="s">
        <v>21</v>
      </c>
      <c r="L963" t="s">
        <v>47</v>
      </c>
      <c r="M963">
        <v>38</v>
      </c>
      <c r="N963" t="s">
        <v>21</v>
      </c>
      <c r="O963">
        <v>4</v>
      </c>
    </row>
    <row r="964" spans="1:15" x14ac:dyDescent="0.3">
      <c r="A964" t="s">
        <v>1002</v>
      </c>
      <c r="B964">
        <v>45</v>
      </c>
      <c r="C964" t="s">
        <v>16</v>
      </c>
      <c r="D964" t="s">
        <v>32</v>
      </c>
      <c r="E964" t="s">
        <v>26</v>
      </c>
      <c r="F964" t="s">
        <v>36</v>
      </c>
      <c r="G964" t="s">
        <v>28</v>
      </c>
      <c r="H964">
        <v>22892</v>
      </c>
      <c r="I964">
        <v>6</v>
      </c>
      <c r="J964">
        <v>8</v>
      </c>
      <c r="K964" t="s">
        <v>21</v>
      </c>
      <c r="L964" t="s">
        <v>47</v>
      </c>
      <c r="M964">
        <v>85</v>
      </c>
      <c r="N964" t="s">
        <v>29</v>
      </c>
      <c r="O964">
        <v>4</v>
      </c>
    </row>
    <row r="965" spans="1:15" x14ac:dyDescent="0.3">
      <c r="A965" t="s">
        <v>1003</v>
      </c>
      <c r="B965">
        <v>53</v>
      </c>
      <c r="C965" t="s">
        <v>16</v>
      </c>
      <c r="D965" t="s">
        <v>40</v>
      </c>
      <c r="E965" t="s">
        <v>33</v>
      </c>
      <c r="F965" t="s">
        <v>38</v>
      </c>
      <c r="G965" t="s">
        <v>20</v>
      </c>
      <c r="H965">
        <v>41672</v>
      </c>
      <c r="I965">
        <v>15</v>
      </c>
      <c r="J965">
        <v>1</v>
      </c>
      <c r="K965" t="s">
        <v>21</v>
      </c>
      <c r="L965" t="s">
        <v>47</v>
      </c>
      <c r="M965">
        <v>95</v>
      </c>
      <c r="N965" t="s">
        <v>21</v>
      </c>
      <c r="O965">
        <v>1</v>
      </c>
    </row>
    <row r="966" spans="1:15" x14ac:dyDescent="0.3">
      <c r="A966" t="s">
        <v>1004</v>
      </c>
      <c r="B966">
        <v>32</v>
      </c>
      <c r="C966" t="s">
        <v>16</v>
      </c>
      <c r="D966" t="s">
        <v>35</v>
      </c>
      <c r="E966" t="s">
        <v>33</v>
      </c>
      <c r="F966" t="s">
        <v>27</v>
      </c>
      <c r="G966" t="s">
        <v>20</v>
      </c>
      <c r="H966">
        <v>25812</v>
      </c>
      <c r="I966">
        <v>2</v>
      </c>
      <c r="J966">
        <v>4</v>
      </c>
      <c r="K966" t="s">
        <v>21</v>
      </c>
      <c r="L966" t="s">
        <v>47</v>
      </c>
      <c r="M966">
        <v>33</v>
      </c>
      <c r="N966" t="s">
        <v>29</v>
      </c>
      <c r="O966">
        <v>1</v>
      </c>
    </row>
    <row r="967" spans="1:15" x14ac:dyDescent="0.3">
      <c r="A967" t="s">
        <v>1005</v>
      </c>
      <c r="B967">
        <v>56</v>
      </c>
      <c r="C967" t="s">
        <v>24</v>
      </c>
      <c r="D967" t="s">
        <v>44</v>
      </c>
      <c r="E967" t="s">
        <v>33</v>
      </c>
      <c r="F967" t="s">
        <v>19</v>
      </c>
      <c r="G967" t="s">
        <v>28</v>
      </c>
      <c r="H967">
        <v>116621</v>
      </c>
      <c r="I967">
        <v>15</v>
      </c>
      <c r="J967">
        <v>3</v>
      </c>
      <c r="K967" t="s">
        <v>21</v>
      </c>
      <c r="L967" t="s">
        <v>45</v>
      </c>
      <c r="M967">
        <v>41</v>
      </c>
      <c r="N967" t="s">
        <v>21</v>
      </c>
      <c r="O967">
        <v>3</v>
      </c>
    </row>
    <row r="968" spans="1:15" x14ac:dyDescent="0.3">
      <c r="A968" t="s">
        <v>1006</v>
      </c>
      <c r="B968">
        <v>24</v>
      </c>
      <c r="C968" t="s">
        <v>24</v>
      </c>
      <c r="D968" t="s">
        <v>35</v>
      </c>
      <c r="E968" t="s">
        <v>26</v>
      </c>
      <c r="F968" t="s">
        <v>27</v>
      </c>
      <c r="G968" t="s">
        <v>28</v>
      </c>
      <c r="H968">
        <v>20654</v>
      </c>
      <c r="I968">
        <v>7</v>
      </c>
      <c r="J968">
        <v>8</v>
      </c>
      <c r="K968" t="s">
        <v>21</v>
      </c>
      <c r="L968" t="s">
        <v>47</v>
      </c>
      <c r="M968">
        <v>47</v>
      </c>
      <c r="N968" t="s">
        <v>21</v>
      </c>
      <c r="O968">
        <v>1</v>
      </c>
    </row>
    <row r="969" spans="1:15" x14ac:dyDescent="0.3">
      <c r="A969" t="s">
        <v>1007</v>
      </c>
      <c r="B969">
        <v>25</v>
      </c>
      <c r="C969" t="s">
        <v>24</v>
      </c>
      <c r="D969" t="s">
        <v>35</v>
      </c>
      <c r="E969" t="s">
        <v>41</v>
      </c>
      <c r="F969" t="s">
        <v>19</v>
      </c>
      <c r="G969" t="s">
        <v>28</v>
      </c>
      <c r="H969">
        <v>74633</v>
      </c>
      <c r="I969">
        <v>11</v>
      </c>
      <c r="J969">
        <v>4</v>
      </c>
      <c r="K969" t="s">
        <v>29</v>
      </c>
      <c r="L969" t="s">
        <v>45</v>
      </c>
      <c r="M969">
        <v>90</v>
      </c>
      <c r="N969" t="s">
        <v>29</v>
      </c>
      <c r="O969">
        <v>4</v>
      </c>
    </row>
    <row r="970" spans="1:15" x14ac:dyDescent="0.3">
      <c r="A970" t="s">
        <v>1008</v>
      </c>
      <c r="B970">
        <v>57</v>
      </c>
      <c r="C970" t="s">
        <v>24</v>
      </c>
      <c r="D970" t="s">
        <v>17</v>
      </c>
      <c r="E970" t="s">
        <v>26</v>
      </c>
      <c r="F970" t="s">
        <v>38</v>
      </c>
      <c r="G970" t="s">
        <v>28</v>
      </c>
      <c r="H970">
        <v>37143</v>
      </c>
      <c r="I970">
        <v>2</v>
      </c>
      <c r="J970">
        <v>8</v>
      </c>
      <c r="K970" t="s">
        <v>21</v>
      </c>
      <c r="L970" t="s">
        <v>45</v>
      </c>
      <c r="M970">
        <v>68</v>
      </c>
      <c r="N970" t="s">
        <v>21</v>
      </c>
      <c r="O970">
        <v>3</v>
      </c>
    </row>
    <row r="971" spans="1:15" x14ac:dyDescent="0.3">
      <c r="A971" t="s">
        <v>1009</v>
      </c>
      <c r="B971">
        <v>28</v>
      </c>
      <c r="C971" t="s">
        <v>24</v>
      </c>
      <c r="D971" t="s">
        <v>40</v>
      </c>
      <c r="E971" t="s">
        <v>50</v>
      </c>
      <c r="F971" t="s">
        <v>38</v>
      </c>
      <c r="G971" t="s">
        <v>28</v>
      </c>
      <c r="H971">
        <v>75934</v>
      </c>
      <c r="I971">
        <v>16</v>
      </c>
      <c r="J971">
        <v>8</v>
      </c>
      <c r="K971" t="s">
        <v>29</v>
      </c>
      <c r="L971" t="s">
        <v>30</v>
      </c>
      <c r="M971">
        <v>28</v>
      </c>
      <c r="N971" t="s">
        <v>29</v>
      </c>
      <c r="O971">
        <v>1</v>
      </c>
    </row>
    <row r="972" spans="1:15" x14ac:dyDescent="0.3">
      <c r="A972" t="s">
        <v>1010</v>
      </c>
      <c r="B972">
        <v>48</v>
      </c>
      <c r="C972" t="s">
        <v>24</v>
      </c>
      <c r="D972" t="s">
        <v>25</v>
      </c>
      <c r="E972" t="s">
        <v>26</v>
      </c>
      <c r="F972" t="s">
        <v>36</v>
      </c>
      <c r="G972" t="s">
        <v>20</v>
      </c>
      <c r="H972">
        <v>87334</v>
      </c>
      <c r="I972">
        <v>17</v>
      </c>
      <c r="J972">
        <v>1</v>
      </c>
      <c r="K972" t="s">
        <v>29</v>
      </c>
      <c r="L972" t="s">
        <v>45</v>
      </c>
      <c r="M972">
        <v>75</v>
      </c>
      <c r="N972" t="s">
        <v>21</v>
      </c>
      <c r="O972">
        <v>2</v>
      </c>
    </row>
    <row r="973" spans="1:15" x14ac:dyDescent="0.3">
      <c r="A973" t="s">
        <v>1011</v>
      </c>
      <c r="B973">
        <v>51</v>
      </c>
      <c r="C973" t="s">
        <v>24</v>
      </c>
      <c r="D973" t="s">
        <v>32</v>
      </c>
      <c r="E973" t="s">
        <v>33</v>
      </c>
      <c r="F973" t="s">
        <v>19</v>
      </c>
      <c r="G973" t="s">
        <v>28</v>
      </c>
      <c r="H973">
        <v>49087</v>
      </c>
      <c r="I973">
        <v>10</v>
      </c>
      <c r="J973">
        <v>8</v>
      </c>
      <c r="K973" t="s">
        <v>29</v>
      </c>
      <c r="L973" t="s">
        <v>45</v>
      </c>
      <c r="M973">
        <v>38</v>
      </c>
      <c r="N973" t="s">
        <v>21</v>
      </c>
      <c r="O973">
        <v>5</v>
      </c>
    </row>
    <row r="974" spans="1:15" x14ac:dyDescent="0.3">
      <c r="A974" t="s">
        <v>1012</v>
      </c>
      <c r="B974">
        <v>29</v>
      </c>
      <c r="C974" t="s">
        <v>16</v>
      </c>
      <c r="D974" t="s">
        <v>32</v>
      </c>
      <c r="E974" t="s">
        <v>18</v>
      </c>
      <c r="F974" t="s">
        <v>36</v>
      </c>
      <c r="G974" t="s">
        <v>20</v>
      </c>
      <c r="H974">
        <v>31618</v>
      </c>
      <c r="I974">
        <v>3</v>
      </c>
      <c r="J974">
        <v>2</v>
      </c>
      <c r="K974" t="s">
        <v>29</v>
      </c>
      <c r="L974" t="s">
        <v>47</v>
      </c>
      <c r="M974">
        <v>52</v>
      </c>
      <c r="N974" t="s">
        <v>29</v>
      </c>
      <c r="O974">
        <v>1</v>
      </c>
    </row>
    <row r="975" spans="1:15" x14ac:dyDescent="0.3">
      <c r="A975" t="s">
        <v>1013</v>
      </c>
      <c r="B975">
        <v>49</v>
      </c>
      <c r="C975" t="s">
        <v>16</v>
      </c>
      <c r="D975" t="s">
        <v>40</v>
      </c>
      <c r="E975" t="s">
        <v>26</v>
      </c>
      <c r="F975" t="s">
        <v>36</v>
      </c>
      <c r="G975" t="s">
        <v>20</v>
      </c>
      <c r="H975">
        <v>28446</v>
      </c>
      <c r="I975">
        <v>15</v>
      </c>
      <c r="J975">
        <v>3</v>
      </c>
      <c r="K975" t="s">
        <v>29</v>
      </c>
      <c r="L975" t="s">
        <v>45</v>
      </c>
      <c r="M975">
        <v>16</v>
      </c>
      <c r="N975" t="s">
        <v>29</v>
      </c>
      <c r="O975">
        <v>1</v>
      </c>
    </row>
    <row r="976" spans="1:15" x14ac:dyDescent="0.3">
      <c r="A976" t="s">
        <v>1014</v>
      </c>
      <c r="B976">
        <v>34</v>
      </c>
      <c r="C976" t="s">
        <v>16</v>
      </c>
      <c r="D976" t="s">
        <v>25</v>
      </c>
      <c r="E976" t="s">
        <v>26</v>
      </c>
      <c r="F976" t="s">
        <v>38</v>
      </c>
      <c r="G976" t="s">
        <v>20</v>
      </c>
      <c r="H976">
        <v>107182</v>
      </c>
      <c r="I976">
        <v>16</v>
      </c>
      <c r="J976">
        <v>0</v>
      </c>
      <c r="K976" t="s">
        <v>21</v>
      </c>
      <c r="L976" t="s">
        <v>22</v>
      </c>
      <c r="M976">
        <v>27</v>
      </c>
      <c r="N976" t="s">
        <v>21</v>
      </c>
      <c r="O976">
        <v>2</v>
      </c>
    </row>
    <row r="977" spans="1:15" x14ac:dyDescent="0.3">
      <c r="A977" t="s">
        <v>1015</v>
      </c>
      <c r="B977">
        <v>42</v>
      </c>
      <c r="C977" t="s">
        <v>24</v>
      </c>
      <c r="D977" t="s">
        <v>32</v>
      </c>
      <c r="E977" t="s">
        <v>33</v>
      </c>
      <c r="F977" t="s">
        <v>27</v>
      </c>
      <c r="G977" t="s">
        <v>28</v>
      </c>
      <c r="H977">
        <v>68867</v>
      </c>
      <c r="I977">
        <v>8</v>
      </c>
      <c r="J977">
        <v>0</v>
      </c>
      <c r="K977" t="s">
        <v>21</v>
      </c>
      <c r="L977" t="s">
        <v>47</v>
      </c>
      <c r="M977">
        <v>83</v>
      </c>
      <c r="N977" t="s">
        <v>21</v>
      </c>
      <c r="O977">
        <v>4</v>
      </c>
    </row>
    <row r="978" spans="1:15" x14ac:dyDescent="0.3">
      <c r="A978" t="s">
        <v>1016</v>
      </c>
      <c r="B978">
        <v>31</v>
      </c>
      <c r="C978" t="s">
        <v>24</v>
      </c>
      <c r="D978" t="s">
        <v>40</v>
      </c>
      <c r="E978" t="s">
        <v>18</v>
      </c>
      <c r="F978" t="s">
        <v>27</v>
      </c>
      <c r="G978" t="s">
        <v>20</v>
      </c>
      <c r="H978">
        <v>71028</v>
      </c>
      <c r="I978">
        <v>5</v>
      </c>
      <c r="J978">
        <v>0</v>
      </c>
      <c r="K978" t="s">
        <v>21</v>
      </c>
      <c r="L978" t="s">
        <v>47</v>
      </c>
      <c r="M978">
        <v>17</v>
      </c>
      <c r="N978" t="s">
        <v>29</v>
      </c>
      <c r="O978">
        <v>2</v>
      </c>
    </row>
    <row r="979" spans="1:15" x14ac:dyDescent="0.3">
      <c r="A979" t="s">
        <v>1017</v>
      </c>
      <c r="B979">
        <v>43</v>
      </c>
      <c r="C979" t="s">
        <v>24</v>
      </c>
      <c r="D979" t="s">
        <v>32</v>
      </c>
      <c r="E979" t="s">
        <v>18</v>
      </c>
      <c r="F979" t="s">
        <v>36</v>
      </c>
      <c r="G979" t="s">
        <v>20</v>
      </c>
      <c r="H979">
        <v>80101</v>
      </c>
      <c r="I979">
        <v>19</v>
      </c>
      <c r="J979">
        <v>8</v>
      </c>
      <c r="K979" t="s">
        <v>21</v>
      </c>
      <c r="L979" t="s">
        <v>47</v>
      </c>
      <c r="M979">
        <v>91</v>
      </c>
      <c r="N979" t="s">
        <v>29</v>
      </c>
      <c r="O979">
        <v>1</v>
      </c>
    </row>
    <row r="980" spans="1:15" x14ac:dyDescent="0.3">
      <c r="A980" t="s">
        <v>1018</v>
      </c>
      <c r="B980">
        <v>21</v>
      </c>
      <c r="C980" t="s">
        <v>24</v>
      </c>
      <c r="D980" t="s">
        <v>35</v>
      </c>
      <c r="E980" t="s">
        <v>50</v>
      </c>
      <c r="F980" t="s">
        <v>38</v>
      </c>
      <c r="G980" t="s">
        <v>20</v>
      </c>
      <c r="H980">
        <v>47200</v>
      </c>
      <c r="I980">
        <v>1</v>
      </c>
      <c r="J980">
        <v>7</v>
      </c>
      <c r="K980" t="s">
        <v>29</v>
      </c>
      <c r="L980" t="s">
        <v>30</v>
      </c>
      <c r="M980">
        <v>49</v>
      </c>
      <c r="N980" t="s">
        <v>29</v>
      </c>
      <c r="O980">
        <v>4</v>
      </c>
    </row>
    <row r="981" spans="1:15" x14ac:dyDescent="0.3">
      <c r="A981" t="s">
        <v>1019</v>
      </c>
      <c r="B981">
        <v>57</v>
      </c>
      <c r="C981" t="s">
        <v>24</v>
      </c>
      <c r="D981" t="s">
        <v>44</v>
      </c>
      <c r="E981" t="s">
        <v>26</v>
      </c>
      <c r="F981" t="s">
        <v>19</v>
      </c>
      <c r="G981" t="s">
        <v>20</v>
      </c>
      <c r="H981">
        <v>115107</v>
      </c>
      <c r="I981">
        <v>8</v>
      </c>
      <c r="J981">
        <v>4</v>
      </c>
      <c r="K981" t="s">
        <v>29</v>
      </c>
      <c r="L981" t="s">
        <v>47</v>
      </c>
      <c r="M981">
        <v>69</v>
      </c>
      <c r="N981" t="s">
        <v>21</v>
      </c>
      <c r="O981">
        <v>3</v>
      </c>
    </row>
    <row r="982" spans="1:15" x14ac:dyDescent="0.3">
      <c r="A982" t="s">
        <v>1020</v>
      </c>
      <c r="B982">
        <v>41</v>
      </c>
      <c r="C982" t="s">
        <v>16</v>
      </c>
      <c r="D982" t="s">
        <v>44</v>
      </c>
      <c r="E982" t="s">
        <v>18</v>
      </c>
      <c r="F982" t="s">
        <v>27</v>
      </c>
      <c r="G982" t="s">
        <v>28</v>
      </c>
      <c r="H982">
        <v>108074</v>
      </c>
      <c r="I982">
        <v>5</v>
      </c>
      <c r="J982">
        <v>4</v>
      </c>
      <c r="K982" t="s">
        <v>29</v>
      </c>
      <c r="L982" t="s">
        <v>45</v>
      </c>
      <c r="M982">
        <v>51</v>
      </c>
      <c r="N982" t="s">
        <v>29</v>
      </c>
      <c r="O982">
        <v>1</v>
      </c>
    </row>
    <row r="983" spans="1:15" x14ac:dyDescent="0.3">
      <c r="A983" t="s">
        <v>1021</v>
      </c>
      <c r="B983">
        <v>46</v>
      </c>
      <c r="C983" t="s">
        <v>16</v>
      </c>
      <c r="D983" t="s">
        <v>32</v>
      </c>
      <c r="E983" t="s">
        <v>18</v>
      </c>
      <c r="F983" t="s">
        <v>36</v>
      </c>
      <c r="G983" t="s">
        <v>28</v>
      </c>
      <c r="H983">
        <v>81465</v>
      </c>
      <c r="I983">
        <v>2</v>
      </c>
      <c r="J983">
        <v>8</v>
      </c>
      <c r="K983" t="s">
        <v>21</v>
      </c>
      <c r="L983" t="s">
        <v>22</v>
      </c>
      <c r="M983">
        <v>62</v>
      </c>
      <c r="N983" t="s">
        <v>29</v>
      </c>
      <c r="O983">
        <v>2</v>
      </c>
    </row>
    <row r="984" spans="1:15" x14ac:dyDescent="0.3">
      <c r="A984" t="s">
        <v>1022</v>
      </c>
      <c r="B984">
        <v>56</v>
      </c>
      <c r="C984" t="s">
        <v>24</v>
      </c>
      <c r="D984" t="s">
        <v>17</v>
      </c>
      <c r="E984" t="s">
        <v>41</v>
      </c>
      <c r="F984" t="s">
        <v>27</v>
      </c>
      <c r="G984" t="s">
        <v>20</v>
      </c>
      <c r="H984">
        <v>106436</v>
      </c>
      <c r="I984">
        <v>19</v>
      </c>
      <c r="J984">
        <v>2</v>
      </c>
      <c r="K984" t="s">
        <v>21</v>
      </c>
      <c r="L984" t="s">
        <v>47</v>
      </c>
      <c r="M984">
        <v>9</v>
      </c>
      <c r="N984" t="s">
        <v>21</v>
      </c>
      <c r="O984">
        <v>3</v>
      </c>
    </row>
    <row r="985" spans="1:15" x14ac:dyDescent="0.3">
      <c r="A985" t="s">
        <v>1023</v>
      </c>
      <c r="B985">
        <v>43</v>
      </c>
      <c r="C985" t="s">
        <v>24</v>
      </c>
      <c r="D985" t="s">
        <v>25</v>
      </c>
      <c r="E985" t="s">
        <v>41</v>
      </c>
      <c r="F985" t="s">
        <v>27</v>
      </c>
      <c r="G985" t="s">
        <v>20</v>
      </c>
      <c r="H985">
        <v>107892</v>
      </c>
      <c r="I985">
        <v>5</v>
      </c>
      <c r="J985">
        <v>2</v>
      </c>
      <c r="K985" t="s">
        <v>21</v>
      </c>
      <c r="L985" t="s">
        <v>47</v>
      </c>
      <c r="M985">
        <v>81</v>
      </c>
      <c r="N985" t="s">
        <v>29</v>
      </c>
      <c r="O985">
        <v>5</v>
      </c>
    </row>
    <row r="986" spans="1:15" x14ac:dyDescent="0.3">
      <c r="A986" t="s">
        <v>1024</v>
      </c>
      <c r="B986">
        <v>21</v>
      </c>
      <c r="C986" t="s">
        <v>24</v>
      </c>
      <c r="D986" t="s">
        <v>25</v>
      </c>
      <c r="E986" t="s">
        <v>18</v>
      </c>
      <c r="F986" t="s">
        <v>19</v>
      </c>
      <c r="G986" t="s">
        <v>28</v>
      </c>
      <c r="H986">
        <v>108559</v>
      </c>
      <c r="I986">
        <v>6</v>
      </c>
      <c r="J986">
        <v>6</v>
      </c>
      <c r="K986" t="s">
        <v>21</v>
      </c>
      <c r="L986" t="s">
        <v>22</v>
      </c>
      <c r="M986">
        <v>9</v>
      </c>
      <c r="N986" t="s">
        <v>29</v>
      </c>
      <c r="O986">
        <v>3</v>
      </c>
    </row>
    <row r="987" spans="1:15" x14ac:dyDescent="0.3">
      <c r="A987" t="s">
        <v>1025</v>
      </c>
      <c r="B987">
        <v>35</v>
      </c>
      <c r="C987" t="s">
        <v>24</v>
      </c>
      <c r="D987" t="s">
        <v>25</v>
      </c>
      <c r="E987" t="s">
        <v>50</v>
      </c>
      <c r="F987" t="s">
        <v>38</v>
      </c>
      <c r="G987" t="s">
        <v>28</v>
      </c>
      <c r="H987">
        <v>59148</v>
      </c>
      <c r="I987">
        <v>0</v>
      </c>
      <c r="J987">
        <v>8</v>
      </c>
      <c r="K987" t="s">
        <v>29</v>
      </c>
      <c r="L987" t="s">
        <v>47</v>
      </c>
      <c r="M987">
        <v>64</v>
      </c>
      <c r="N987" t="s">
        <v>29</v>
      </c>
      <c r="O987">
        <v>2</v>
      </c>
    </row>
    <row r="988" spans="1:15" x14ac:dyDescent="0.3">
      <c r="A988" t="s">
        <v>1026</v>
      </c>
      <c r="B988">
        <v>41</v>
      </c>
      <c r="C988" t="s">
        <v>16</v>
      </c>
      <c r="D988" t="s">
        <v>35</v>
      </c>
      <c r="E988" t="s">
        <v>18</v>
      </c>
      <c r="F988" t="s">
        <v>19</v>
      </c>
      <c r="G988" t="s">
        <v>28</v>
      </c>
      <c r="H988">
        <v>102928</v>
      </c>
      <c r="I988">
        <v>0</v>
      </c>
      <c r="J988">
        <v>5</v>
      </c>
      <c r="K988" t="s">
        <v>29</v>
      </c>
      <c r="L988" t="s">
        <v>30</v>
      </c>
      <c r="M988">
        <v>25</v>
      </c>
      <c r="N988" t="s">
        <v>29</v>
      </c>
      <c r="O988">
        <v>3</v>
      </c>
    </row>
    <row r="989" spans="1:15" x14ac:dyDescent="0.3">
      <c r="A989" t="s">
        <v>1027</v>
      </c>
      <c r="B989">
        <v>29</v>
      </c>
      <c r="C989" t="s">
        <v>24</v>
      </c>
      <c r="D989" t="s">
        <v>25</v>
      </c>
      <c r="E989" t="s">
        <v>33</v>
      </c>
      <c r="F989" t="s">
        <v>38</v>
      </c>
      <c r="G989" t="s">
        <v>20</v>
      </c>
      <c r="H989">
        <v>40698</v>
      </c>
      <c r="I989">
        <v>4</v>
      </c>
      <c r="J989">
        <v>1</v>
      </c>
      <c r="K989" t="s">
        <v>21</v>
      </c>
      <c r="L989" t="s">
        <v>45</v>
      </c>
      <c r="M989">
        <v>28</v>
      </c>
      <c r="N989" t="s">
        <v>21</v>
      </c>
      <c r="O989">
        <v>2</v>
      </c>
    </row>
    <row r="990" spans="1:15" x14ac:dyDescent="0.3">
      <c r="A990" t="s">
        <v>1028</v>
      </c>
      <c r="B990">
        <v>29</v>
      </c>
      <c r="C990" t="s">
        <v>24</v>
      </c>
      <c r="D990" t="s">
        <v>44</v>
      </c>
      <c r="E990" t="s">
        <v>26</v>
      </c>
      <c r="F990" t="s">
        <v>27</v>
      </c>
      <c r="G990" t="s">
        <v>28</v>
      </c>
      <c r="H990">
        <v>62470</v>
      </c>
      <c r="I990">
        <v>5</v>
      </c>
      <c r="J990">
        <v>0</v>
      </c>
      <c r="K990" t="s">
        <v>21</v>
      </c>
      <c r="L990" t="s">
        <v>22</v>
      </c>
      <c r="M990">
        <v>22</v>
      </c>
      <c r="N990" t="s">
        <v>29</v>
      </c>
      <c r="O990">
        <v>1</v>
      </c>
    </row>
    <row r="991" spans="1:15" x14ac:dyDescent="0.3">
      <c r="A991" t="s">
        <v>1029</v>
      </c>
      <c r="B991">
        <v>30</v>
      </c>
      <c r="C991" t="s">
        <v>24</v>
      </c>
      <c r="D991" t="s">
        <v>35</v>
      </c>
      <c r="E991" t="s">
        <v>50</v>
      </c>
      <c r="F991" t="s">
        <v>36</v>
      </c>
      <c r="G991" t="s">
        <v>20</v>
      </c>
      <c r="H991">
        <v>112071</v>
      </c>
      <c r="I991">
        <v>12</v>
      </c>
      <c r="J991">
        <v>1</v>
      </c>
      <c r="K991" t="s">
        <v>29</v>
      </c>
      <c r="L991" t="s">
        <v>22</v>
      </c>
      <c r="M991">
        <v>25</v>
      </c>
      <c r="N991" t="s">
        <v>29</v>
      </c>
      <c r="O991">
        <v>4</v>
      </c>
    </row>
    <row r="992" spans="1:15" x14ac:dyDescent="0.3">
      <c r="A992" t="s">
        <v>1030</v>
      </c>
      <c r="B992">
        <v>46</v>
      </c>
      <c r="C992" t="s">
        <v>24</v>
      </c>
      <c r="D992" t="s">
        <v>40</v>
      </c>
      <c r="E992" t="s">
        <v>33</v>
      </c>
      <c r="F992" t="s">
        <v>19</v>
      </c>
      <c r="G992" t="s">
        <v>20</v>
      </c>
      <c r="H992">
        <v>71660</v>
      </c>
      <c r="I992">
        <v>1</v>
      </c>
      <c r="J992">
        <v>0</v>
      </c>
      <c r="K992" t="s">
        <v>29</v>
      </c>
      <c r="L992" t="s">
        <v>30</v>
      </c>
      <c r="M992">
        <v>58</v>
      </c>
      <c r="N992" t="s">
        <v>29</v>
      </c>
      <c r="O992">
        <v>5</v>
      </c>
    </row>
    <row r="993" spans="1:15" x14ac:dyDescent="0.3">
      <c r="A993" t="s">
        <v>1031</v>
      </c>
      <c r="B993">
        <v>55</v>
      </c>
      <c r="C993" t="s">
        <v>16</v>
      </c>
      <c r="D993" t="s">
        <v>25</v>
      </c>
      <c r="E993" t="s">
        <v>50</v>
      </c>
      <c r="F993" t="s">
        <v>38</v>
      </c>
      <c r="G993" t="s">
        <v>28</v>
      </c>
      <c r="H993">
        <v>73910</v>
      </c>
      <c r="I993">
        <v>14</v>
      </c>
      <c r="J993">
        <v>9</v>
      </c>
      <c r="K993" t="s">
        <v>29</v>
      </c>
      <c r="L993" t="s">
        <v>45</v>
      </c>
      <c r="M993">
        <v>14</v>
      </c>
      <c r="N993" t="s">
        <v>29</v>
      </c>
      <c r="O993">
        <v>4</v>
      </c>
    </row>
    <row r="994" spans="1:15" x14ac:dyDescent="0.3">
      <c r="A994" t="s">
        <v>1032</v>
      </c>
      <c r="B994">
        <v>45</v>
      </c>
      <c r="C994" t="s">
        <v>24</v>
      </c>
      <c r="D994" t="s">
        <v>25</v>
      </c>
      <c r="E994" t="s">
        <v>33</v>
      </c>
      <c r="F994" t="s">
        <v>27</v>
      </c>
      <c r="G994" t="s">
        <v>20</v>
      </c>
      <c r="H994">
        <v>55450</v>
      </c>
      <c r="I994">
        <v>14</v>
      </c>
      <c r="J994">
        <v>9</v>
      </c>
      <c r="K994" t="s">
        <v>29</v>
      </c>
      <c r="L994" t="s">
        <v>30</v>
      </c>
      <c r="M994">
        <v>28</v>
      </c>
      <c r="N994" t="s">
        <v>29</v>
      </c>
      <c r="O994">
        <v>4</v>
      </c>
    </row>
    <row r="995" spans="1:15" x14ac:dyDescent="0.3">
      <c r="A995" t="s">
        <v>1033</v>
      </c>
      <c r="B995">
        <v>46</v>
      </c>
      <c r="C995" t="s">
        <v>24</v>
      </c>
      <c r="D995" t="s">
        <v>40</v>
      </c>
      <c r="E995" t="s">
        <v>26</v>
      </c>
      <c r="F995" t="s">
        <v>38</v>
      </c>
      <c r="G995" t="s">
        <v>28</v>
      </c>
      <c r="H995">
        <v>76463</v>
      </c>
      <c r="I995">
        <v>12</v>
      </c>
      <c r="J995">
        <v>8</v>
      </c>
      <c r="K995" t="s">
        <v>21</v>
      </c>
      <c r="L995" t="s">
        <v>45</v>
      </c>
      <c r="M995">
        <v>89</v>
      </c>
      <c r="N995" t="s">
        <v>29</v>
      </c>
      <c r="O995">
        <v>4</v>
      </c>
    </row>
    <row r="996" spans="1:15" x14ac:dyDescent="0.3">
      <c r="A996" t="s">
        <v>1034</v>
      </c>
      <c r="B996">
        <v>31</v>
      </c>
      <c r="C996" t="s">
        <v>16</v>
      </c>
      <c r="D996" t="s">
        <v>25</v>
      </c>
      <c r="E996" t="s">
        <v>26</v>
      </c>
      <c r="F996" t="s">
        <v>38</v>
      </c>
      <c r="G996" t="s">
        <v>20</v>
      </c>
      <c r="H996">
        <v>53757</v>
      </c>
      <c r="I996">
        <v>13</v>
      </c>
      <c r="J996">
        <v>9</v>
      </c>
      <c r="K996" t="s">
        <v>29</v>
      </c>
      <c r="L996" t="s">
        <v>30</v>
      </c>
      <c r="M996">
        <v>93</v>
      </c>
      <c r="N996" t="s">
        <v>21</v>
      </c>
      <c r="O996">
        <v>2</v>
      </c>
    </row>
    <row r="997" spans="1:15" x14ac:dyDescent="0.3">
      <c r="A997" t="s">
        <v>1035</v>
      </c>
      <c r="B997">
        <v>58</v>
      </c>
      <c r="C997" t="s">
        <v>16</v>
      </c>
      <c r="D997" t="s">
        <v>40</v>
      </c>
      <c r="E997" t="s">
        <v>41</v>
      </c>
      <c r="F997" t="s">
        <v>38</v>
      </c>
      <c r="G997" t="s">
        <v>28</v>
      </c>
      <c r="H997">
        <v>98012</v>
      </c>
      <c r="I997">
        <v>6</v>
      </c>
      <c r="J997">
        <v>7</v>
      </c>
      <c r="K997" t="s">
        <v>29</v>
      </c>
      <c r="L997" t="s">
        <v>47</v>
      </c>
      <c r="M997">
        <v>64</v>
      </c>
      <c r="N997" t="s">
        <v>21</v>
      </c>
      <c r="O997">
        <v>2</v>
      </c>
    </row>
    <row r="998" spans="1:15" x14ac:dyDescent="0.3">
      <c r="A998" t="s">
        <v>1036</v>
      </c>
      <c r="B998">
        <v>22</v>
      </c>
      <c r="C998" t="s">
        <v>16</v>
      </c>
      <c r="D998" t="s">
        <v>35</v>
      </c>
      <c r="E998" t="s">
        <v>33</v>
      </c>
      <c r="F998" t="s">
        <v>27</v>
      </c>
      <c r="G998" t="s">
        <v>20</v>
      </c>
      <c r="H998">
        <v>90247</v>
      </c>
      <c r="I998">
        <v>13</v>
      </c>
      <c r="J998">
        <v>6</v>
      </c>
      <c r="K998" t="s">
        <v>29</v>
      </c>
      <c r="L998" t="s">
        <v>30</v>
      </c>
      <c r="M998">
        <v>61</v>
      </c>
      <c r="N998" t="s">
        <v>21</v>
      </c>
      <c r="O998">
        <v>5</v>
      </c>
    </row>
    <row r="999" spans="1:15" x14ac:dyDescent="0.3">
      <c r="A999" t="s">
        <v>1037</v>
      </c>
      <c r="B999">
        <v>27</v>
      </c>
      <c r="C999" t="s">
        <v>24</v>
      </c>
      <c r="D999" t="s">
        <v>44</v>
      </c>
      <c r="E999" t="s">
        <v>41</v>
      </c>
      <c r="F999" t="s">
        <v>36</v>
      </c>
      <c r="G999" t="s">
        <v>20</v>
      </c>
      <c r="H999">
        <v>92015</v>
      </c>
      <c r="I999">
        <v>9</v>
      </c>
      <c r="J999">
        <v>2</v>
      </c>
      <c r="K999" t="s">
        <v>29</v>
      </c>
      <c r="L999" t="s">
        <v>22</v>
      </c>
      <c r="M999">
        <v>27</v>
      </c>
      <c r="N999" t="s">
        <v>29</v>
      </c>
      <c r="O999">
        <v>2</v>
      </c>
    </row>
    <row r="1000" spans="1:15" x14ac:dyDescent="0.3">
      <c r="A1000" t="s">
        <v>1038</v>
      </c>
      <c r="B1000">
        <v>38</v>
      </c>
      <c r="C1000" t="s">
        <v>24</v>
      </c>
      <c r="D1000" t="s">
        <v>40</v>
      </c>
      <c r="E1000" t="s">
        <v>33</v>
      </c>
      <c r="F1000" t="s">
        <v>36</v>
      </c>
      <c r="G1000" t="s">
        <v>28</v>
      </c>
      <c r="H1000">
        <v>51390</v>
      </c>
      <c r="I1000">
        <v>16</v>
      </c>
      <c r="J1000">
        <v>7</v>
      </c>
      <c r="K1000" t="s">
        <v>21</v>
      </c>
      <c r="L1000" t="s">
        <v>22</v>
      </c>
      <c r="M1000">
        <v>26</v>
      </c>
      <c r="N1000" t="s">
        <v>29</v>
      </c>
      <c r="O1000">
        <v>2</v>
      </c>
    </row>
    <row r="1001" spans="1:15" x14ac:dyDescent="0.3">
      <c r="A1001" t="s">
        <v>1039</v>
      </c>
      <c r="B1001">
        <v>47</v>
      </c>
      <c r="C1001" t="s">
        <v>16</v>
      </c>
      <c r="D1001" t="s">
        <v>17</v>
      </c>
      <c r="E1001" t="s">
        <v>41</v>
      </c>
      <c r="F1001" t="s">
        <v>36</v>
      </c>
      <c r="G1001" t="s">
        <v>28</v>
      </c>
      <c r="H1001">
        <v>76116</v>
      </c>
      <c r="I1001">
        <v>13</v>
      </c>
      <c r="J1001">
        <v>1</v>
      </c>
      <c r="K1001" t="s">
        <v>21</v>
      </c>
      <c r="L1001" t="s">
        <v>22</v>
      </c>
      <c r="M1001">
        <v>72</v>
      </c>
      <c r="N1001" t="s">
        <v>29</v>
      </c>
      <c r="O1001">
        <v>2</v>
      </c>
    </row>
    <row r="1002" spans="1:15" x14ac:dyDescent="0.3">
      <c r="A1002" t="s">
        <v>1040</v>
      </c>
      <c r="B1002">
        <v>54</v>
      </c>
      <c r="C1002" t="s">
        <v>16</v>
      </c>
      <c r="D1002" t="s">
        <v>40</v>
      </c>
      <c r="E1002" t="s">
        <v>26</v>
      </c>
      <c r="F1002" t="s">
        <v>38</v>
      </c>
      <c r="G1002" t="s">
        <v>28</v>
      </c>
      <c r="H1002">
        <v>33161</v>
      </c>
      <c r="I1002">
        <v>7</v>
      </c>
      <c r="J1002">
        <v>1</v>
      </c>
      <c r="K1002" t="s">
        <v>21</v>
      </c>
      <c r="L1002" t="s">
        <v>30</v>
      </c>
      <c r="M1002">
        <v>38</v>
      </c>
      <c r="N1002" t="s">
        <v>21</v>
      </c>
      <c r="O1002">
        <v>2</v>
      </c>
    </row>
    <row r="1003" spans="1:15" x14ac:dyDescent="0.3">
      <c r="A1003" t="s">
        <v>1041</v>
      </c>
      <c r="B1003">
        <v>47</v>
      </c>
      <c r="C1003" t="s">
        <v>16</v>
      </c>
      <c r="D1003" t="s">
        <v>25</v>
      </c>
      <c r="E1003" t="s">
        <v>50</v>
      </c>
      <c r="F1003" t="s">
        <v>27</v>
      </c>
      <c r="G1003" t="s">
        <v>28</v>
      </c>
      <c r="H1003">
        <v>52152</v>
      </c>
      <c r="I1003">
        <v>3</v>
      </c>
      <c r="J1003">
        <v>9</v>
      </c>
      <c r="K1003" t="s">
        <v>21</v>
      </c>
      <c r="L1003" t="s">
        <v>22</v>
      </c>
      <c r="M1003">
        <v>74</v>
      </c>
      <c r="N1003" t="s">
        <v>29</v>
      </c>
      <c r="O1003">
        <v>1</v>
      </c>
    </row>
    <row r="1004" spans="1:15" x14ac:dyDescent="0.3">
      <c r="A1004" t="s">
        <v>1042</v>
      </c>
      <c r="B1004">
        <v>37</v>
      </c>
      <c r="C1004" t="s">
        <v>16</v>
      </c>
      <c r="D1004" t="s">
        <v>35</v>
      </c>
      <c r="E1004" t="s">
        <v>41</v>
      </c>
      <c r="F1004" t="s">
        <v>38</v>
      </c>
      <c r="G1004" t="s">
        <v>20</v>
      </c>
      <c r="H1004">
        <v>100171</v>
      </c>
      <c r="I1004">
        <v>15</v>
      </c>
      <c r="J1004">
        <v>2</v>
      </c>
      <c r="K1004" t="s">
        <v>21</v>
      </c>
      <c r="L1004" t="s">
        <v>22</v>
      </c>
      <c r="M1004">
        <v>32</v>
      </c>
      <c r="N1004" t="s">
        <v>21</v>
      </c>
      <c r="O1004">
        <v>5</v>
      </c>
    </row>
    <row r="1005" spans="1:15" x14ac:dyDescent="0.3">
      <c r="A1005" t="s">
        <v>1043</v>
      </c>
      <c r="B1005">
        <v>44</v>
      </c>
      <c r="C1005" t="s">
        <v>16</v>
      </c>
      <c r="D1005" t="s">
        <v>32</v>
      </c>
      <c r="E1005" t="s">
        <v>33</v>
      </c>
      <c r="F1005" t="s">
        <v>36</v>
      </c>
      <c r="G1005" t="s">
        <v>28</v>
      </c>
      <c r="H1005">
        <v>115833</v>
      </c>
      <c r="I1005">
        <v>12</v>
      </c>
      <c r="J1005">
        <v>6</v>
      </c>
      <c r="K1005" t="s">
        <v>21</v>
      </c>
      <c r="L1005" t="s">
        <v>47</v>
      </c>
      <c r="M1005">
        <v>99</v>
      </c>
      <c r="N1005" t="s">
        <v>29</v>
      </c>
      <c r="O1005">
        <v>2</v>
      </c>
    </row>
    <row r="1006" spans="1:15" x14ac:dyDescent="0.3">
      <c r="A1006" t="s">
        <v>1044</v>
      </c>
      <c r="B1006">
        <v>45</v>
      </c>
      <c r="C1006" t="s">
        <v>16</v>
      </c>
      <c r="D1006" t="s">
        <v>35</v>
      </c>
      <c r="E1006" t="s">
        <v>33</v>
      </c>
      <c r="F1006" t="s">
        <v>36</v>
      </c>
      <c r="G1006" t="s">
        <v>28</v>
      </c>
      <c r="H1006">
        <v>40836</v>
      </c>
      <c r="I1006">
        <v>19</v>
      </c>
      <c r="J1006">
        <v>0</v>
      </c>
      <c r="K1006" t="s">
        <v>29</v>
      </c>
      <c r="L1006" t="s">
        <v>47</v>
      </c>
      <c r="M1006">
        <v>43</v>
      </c>
      <c r="N1006" t="s">
        <v>29</v>
      </c>
      <c r="O1006">
        <v>5</v>
      </c>
    </row>
    <row r="1007" spans="1:15" x14ac:dyDescent="0.3">
      <c r="A1007" t="s">
        <v>1045</v>
      </c>
      <c r="B1007">
        <v>27</v>
      </c>
      <c r="C1007" t="s">
        <v>24</v>
      </c>
      <c r="D1007" t="s">
        <v>32</v>
      </c>
      <c r="E1007" t="s">
        <v>26</v>
      </c>
      <c r="F1007" t="s">
        <v>27</v>
      </c>
      <c r="G1007" t="s">
        <v>20</v>
      </c>
      <c r="H1007">
        <v>110367</v>
      </c>
      <c r="I1007">
        <v>17</v>
      </c>
      <c r="J1007">
        <v>7</v>
      </c>
      <c r="K1007" t="s">
        <v>29</v>
      </c>
      <c r="L1007" t="s">
        <v>45</v>
      </c>
      <c r="M1007">
        <v>46</v>
      </c>
      <c r="N1007" t="s">
        <v>21</v>
      </c>
      <c r="O1007">
        <v>3</v>
      </c>
    </row>
    <row r="1008" spans="1:15" x14ac:dyDescent="0.3">
      <c r="A1008" t="s">
        <v>1046</v>
      </c>
      <c r="B1008">
        <v>26</v>
      </c>
      <c r="C1008" t="s">
        <v>24</v>
      </c>
      <c r="D1008" t="s">
        <v>40</v>
      </c>
      <c r="E1008" t="s">
        <v>33</v>
      </c>
      <c r="F1008" t="s">
        <v>38</v>
      </c>
      <c r="G1008" t="s">
        <v>28</v>
      </c>
      <c r="H1008">
        <v>86543</v>
      </c>
      <c r="I1008">
        <v>13</v>
      </c>
      <c r="J1008">
        <v>6</v>
      </c>
      <c r="K1008" t="s">
        <v>29</v>
      </c>
      <c r="L1008" t="s">
        <v>45</v>
      </c>
      <c r="M1008">
        <v>27</v>
      </c>
      <c r="N1008" t="s">
        <v>21</v>
      </c>
      <c r="O1008">
        <v>1</v>
      </c>
    </row>
    <row r="1009" spans="1:15" x14ac:dyDescent="0.3">
      <c r="A1009" t="s">
        <v>1047</v>
      </c>
      <c r="B1009">
        <v>44</v>
      </c>
      <c r="C1009" t="s">
        <v>24</v>
      </c>
      <c r="D1009" t="s">
        <v>44</v>
      </c>
      <c r="E1009" t="s">
        <v>18</v>
      </c>
      <c r="F1009" t="s">
        <v>19</v>
      </c>
      <c r="G1009" t="s">
        <v>28</v>
      </c>
      <c r="H1009">
        <v>75648</v>
      </c>
      <c r="I1009">
        <v>17</v>
      </c>
      <c r="J1009">
        <v>3</v>
      </c>
      <c r="K1009" t="s">
        <v>29</v>
      </c>
      <c r="L1009" t="s">
        <v>45</v>
      </c>
      <c r="M1009">
        <v>74</v>
      </c>
      <c r="N1009" t="s">
        <v>21</v>
      </c>
      <c r="O1009">
        <v>2</v>
      </c>
    </row>
    <row r="1010" spans="1:15" x14ac:dyDescent="0.3">
      <c r="A1010" t="s">
        <v>1048</v>
      </c>
      <c r="B1010">
        <v>53</v>
      </c>
      <c r="C1010" t="s">
        <v>16</v>
      </c>
      <c r="D1010" t="s">
        <v>17</v>
      </c>
      <c r="E1010" t="s">
        <v>50</v>
      </c>
      <c r="F1010" t="s">
        <v>19</v>
      </c>
      <c r="G1010" t="s">
        <v>20</v>
      </c>
      <c r="H1010">
        <v>46331</v>
      </c>
      <c r="I1010">
        <v>4</v>
      </c>
      <c r="J1010">
        <v>4</v>
      </c>
      <c r="K1010" t="s">
        <v>21</v>
      </c>
      <c r="L1010" t="s">
        <v>30</v>
      </c>
      <c r="M1010">
        <v>84</v>
      </c>
      <c r="N1010" t="s">
        <v>21</v>
      </c>
      <c r="O1010">
        <v>1</v>
      </c>
    </row>
    <row r="1011" spans="1:15" x14ac:dyDescent="0.3">
      <c r="A1011" t="s">
        <v>1049</v>
      </c>
      <c r="B1011">
        <v>49</v>
      </c>
      <c r="C1011" t="s">
        <v>16</v>
      </c>
      <c r="D1011" t="s">
        <v>35</v>
      </c>
      <c r="E1011" t="s">
        <v>41</v>
      </c>
      <c r="F1011" t="s">
        <v>36</v>
      </c>
      <c r="G1011" t="s">
        <v>28</v>
      </c>
      <c r="H1011">
        <v>30763</v>
      </c>
      <c r="I1011">
        <v>8</v>
      </c>
      <c r="J1011">
        <v>9</v>
      </c>
      <c r="K1011" t="s">
        <v>29</v>
      </c>
      <c r="L1011" t="s">
        <v>45</v>
      </c>
      <c r="M1011">
        <v>6</v>
      </c>
      <c r="N1011" t="s">
        <v>21</v>
      </c>
      <c r="O1011">
        <v>1</v>
      </c>
    </row>
    <row r="1012" spans="1:15" x14ac:dyDescent="0.3">
      <c r="A1012" t="s">
        <v>1050</v>
      </c>
      <c r="B1012">
        <v>42</v>
      </c>
      <c r="C1012" t="s">
        <v>16</v>
      </c>
      <c r="D1012" t="s">
        <v>25</v>
      </c>
      <c r="E1012" t="s">
        <v>50</v>
      </c>
      <c r="F1012" t="s">
        <v>27</v>
      </c>
      <c r="G1012" t="s">
        <v>28</v>
      </c>
      <c r="H1012">
        <v>89444</v>
      </c>
      <c r="I1012">
        <v>2</v>
      </c>
      <c r="J1012">
        <v>0</v>
      </c>
      <c r="K1012" t="s">
        <v>21</v>
      </c>
      <c r="L1012" t="s">
        <v>30</v>
      </c>
      <c r="M1012">
        <v>28</v>
      </c>
      <c r="N1012" t="s">
        <v>21</v>
      </c>
      <c r="O1012">
        <v>3</v>
      </c>
    </row>
    <row r="1013" spans="1:15" x14ac:dyDescent="0.3">
      <c r="A1013" t="s">
        <v>1051</v>
      </c>
      <c r="B1013">
        <v>46</v>
      </c>
      <c r="C1013" t="s">
        <v>16</v>
      </c>
      <c r="D1013" t="s">
        <v>32</v>
      </c>
      <c r="E1013" t="s">
        <v>26</v>
      </c>
      <c r="F1013" t="s">
        <v>38</v>
      </c>
      <c r="G1013" t="s">
        <v>28</v>
      </c>
      <c r="H1013">
        <v>113109</v>
      </c>
      <c r="I1013">
        <v>7</v>
      </c>
      <c r="J1013">
        <v>3</v>
      </c>
      <c r="K1013" t="s">
        <v>29</v>
      </c>
      <c r="L1013" t="s">
        <v>30</v>
      </c>
      <c r="M1013">
        <v>21</v>
      </c>
      <c r="N1013" t="s">
        <v>29</v>
      </c>
      <c r="O1013">
        <v>5</v>
      </c>
    </row>
    <row r="1014" spans="1:15" x14ac:dyDescent="0.3">
      <c r="A1014" t="s">
        <v>1052</v>
      </c>
      <c r="B1014">
        <v>48</v>
      </c>
      <c r="C1014" t="s">
        <v>16</v>
      </c>
      <c r="D1014" t="s">
        <v>25</v>
      </c>
      <c r="E1014" t="s">
        <v>41</v>
      </c>
      <c r="F1014" t="s">
        <v>38</v>
      </c>
      <c r="G1014" t="s">
        <v>28</v>
      </c>
      <c r="H1014">
        <v>39187</v>
      </c>
      <c r="I1014">
        <v>19</v>
      </c>
      <c r="J1014">
        <v>0</v>
      </c>
      <c r="K1014" t="s">
        <v>29</v>
      </c>
      <c r="L1014" t="s">
        <v>45</v>
      </c>
      <c r="M1014">
        <v>69</v>
      </c>
      <c r="N1014" t="s">
        <v>21</v>
      </c>
      <c r="O1014">
        <v>1</v>
      </c>
    </row>
    <row r="1015" spans="1:15" x14ac:dyDescent="0.3">
      <c r="A1015" t="s">
        <v>1053</v>
      </c>
      <c r="B1015">
        <v>41</v>
      </c>
      <c r="C1015" t="s">
        <v>16</v>
      </c>
      <c r="D1015" t="s">
        <v>44</v>
      </c>
      <c r="E1015" t="s">
        <v>41</v>
      </c>
      <c r="F1015" t="s">
        <v>36</v>
      </c>
      <c r="G1015" t="s">
        <v>28</v>
      </c>
      <c r="H1015">
        <v>31957</v>
      </c>
      <c r="I1015">
        <v>9</v>
      </c>
      <c r="J1015">
        <v>0</v>
      </c>
      <c r="K1015" t="s">
        <v>29</v>
      </c>
      <c r="L1015" t="s">
        <v>45</v>
      </c>
      <c r="M1015">
        <v>74</v>
      </c>
      <c r="N1015" t="s">
        <v>29</v>
      </c>
      <c r="O1015">
        <v>4</v>
      </c>
    </row>
    <row r="1016" spans="1:15" x14ac:dyDescent="0.3">
      <c r="A1016" t="s">
        <v>1054</v>
      </c>
      <c r="B1016">
        <v>27</v>
      </c>
      <c r="C1016" t="s">
        <v>24</v>
      </c>
      <c r="D1016" t="s">
        <v>32</v>
      </c>
      <c r="E1016" t="s">
        <v>18</v>
      </c>
      <c r="F1016" t="s">
        <v>36</v>
      </c>
      <c r="G1016" t="s">
        <v>28</v>
      </c>
      <c r="H1016">
        <v>24379</v>
      </c>
      <c r="I1016">
        <v>18</v>
      </c>
      <c r="J1016">
        <v>9</v>
      </c>
      <c r="K1016" t="s">
        <v>21</v>
      </c>
      <c r="L1016" t="s">
        <v>30</v>
      </c>
      <c r="M1016">
        <v>73</v>
      </c>
      <c r="N1016" t="s">
        <v>29</v>
      </c>
      <c r="O1016">
        <v>3</v>
      </c>
    </row>
    <row r="1017" spans="1:15" x14ac:dyDescent="0.3">
      <c r="A1017" t="s">
        <v>1055</v>
      </c>
      <c r="B1017">
        <v>37</v>
      </c>
      <c r="C1017" t="s">
        <v>24</v>
      </c>
      <c r="D1017" t="s">
        <v>35</v>
      </c>
      <c r="E1017" t="s">
        <v>26</v>
      </c>
      <c r="F1017" t="s">
        <v>38</v>
      </c>
      <c r="G1017" t="s">
        <v>20</v>
      </c>
      <c r="H1017">
        <v>47959</v>
      </c>
      <c r="I1017">
        <v>2</v>
      </c>
      <c r="J1017">
        <v>0</v>
      </c>
      <c r="K1017" t="s">
        <v>29</v>
      </c>
      <c r="L1017" t="s">
        <v>47</v>
      </c>
      <c r="M1017">
        <v>64</v>
      </c>
      <c r="N1017" t="s">
        <v>29</v>
      </c>
      <c r="O1017">
        <v>4</v>
      </c>
    </row>
    <row r="1018" spans="1:15" x14ac:dyDescent="0.3">
      <c r="A1018" t="s">
        <v>1056</v>
      </c>
      <c r="B1018">
        <v>40</v>
      </c>
      <c r="C1018" t="s">
        <v>16</v>
      </c>
      <c r="D1018" t="s">
        <v>40</v>
      </c>
      <c r="E1018" t="s">
        <v>33</v>
      </c>
      <c r="F1018" t="s">
        <v>38</v>
      </c>
      <c r="G1018" t="s">
        <v>28</v>
      </c>
      <c r="H1018">
        <v>102018</v>
      </c>
      <c r="I1018">
        <v>10</v>
      </c>
      <c r="J1018">
        <v>6</v>
      </c>
      <c r="K1018" t="s">
        <v>21</v>
      </c>
      <c r="L1018" t="s">
        <v>22</v>
      </c>
      <c r="M1018">
        <v>54</v>
      </c>
      <c r="N1018" t="s">
        <v>29</v>
      </c>
      <c r="O1018">
        <v>3</v>
      </c>
    </row>
    <row r="1019" spans="1:15" x14ac:dyDescent="0.3">
      <c r="A1019" t="s">
        <v>1057</v>
      </c>
      <c r="B1019">
        <v>40</v>
      </c>
      <c r="C1019" t="s">
        <v>24</v>
      </c>
      <c r="D1019" t="s">
        <v>25</v>
      </c>
      <c r="E1019" t="s">
        <v>18</v>
      </c>
      <c r="F1019" t="s">
        <v>36</v>
      </c>
      <c r="G1019" t="s">
        <v>20</v>
      </c>
      <c r="H1019">
        <v>47105</v>
      </c>
      <c r="I1019">
        <v>10</v>
      </c>
      <c r="J1019">
        <v>6</v>
      </c>
      <c r="K1019" t="s">
        <v>21</v>
      </c>
      <c r="L1019" t="s">
        <v>22</v>
      </c>
      <c r="M1019">
        <v>97</v>
      </c>
      <c r="N1019" t="s">
        <v>29</v>
      </c>
      <c r="O1019">
        <v>4</v>
      </c>
    </row>
    <row r="1020" spans="1:15" x14ac:dyDescent="0.3">
      <c r="A1020" t="s">
        <v>1058</v>
      </c>
      <c r="B1020">
        <v>42</v>
      </c>
      <c r="C1020" t="s">
        <v>16</v>
      </c>
      <c r="D1020" t="s">
        <v>44</v>
      </c>
      <c r="E1020" t="s">
        <v>18</v>
      </c>
      <c r="F1020" t="s">
        <v>38</v>
      </c>
      <c r="G1020" t="s">
        <v>20</v>
      </c>
      <c r="H1020">
        <v>20877</v>
      </c>
      <c r="I1020">
        <v>16</v>
      </c>
      <c r="J1020">
        <v>3</v>
      </c>
      <c r="K1020" t="s">
        <v>29</v>
      </c>
      <c r="L1020" t="s">
        <v>22</v>
      </c>
      <c r="M1020">
        <v>16</v>
      </c>
      <c r="N1020" t="s">
        <v>21</v>
      </c>
      <c r="O1020">
        <v>4</v>
      </c>
    </row>
    <row r="1021" spans="1:15" x14ac:dyDescent="0.3">
      <c r="A1021" t="s">
        <v>1059</v>
      </c>
      <c r="B1021">
        <v>48</v>
      </c>
      <c r="C1021" t="s">
        <v>24</v>
      </c>
      <c r="D1021" t="s">
        <v>35</v>
      </c>
      <c r="E1021" t="s">
        <v>50</v>
      </c>
      <c r="F1021" t="s">
        <v>19</v>
      </c>
      <c r="G1021" t="s">
        <v>20</v>
      </c>
      <c r="H1021">
        <v>68353</v>
      </c>
      <c r="I1021">
        <v>15</v>
      </c>
      <c r="J1021">
        <v>1</v>
      </c>
      <c r="K1021" t="s">
        <v>21</v>
      </c>
      <c r="L1021" t="s">
        <v>47</v>
      </c>
      <c r="M1021">
        <v>51</v>
      </c>
      <c r="N1021" t="s">
        <v>21</v>
      </c>
      <c r="O1021">
        <v>1</v>
      </c>
    </row>
    <row r="1022" spans="1:15" x14ac:dyDescent="0.3">
      <c r="A1022" t="s">
        <v>1060</v>
      </c>
      <c r="B1022">
        <v>27</v>
      </c>
      <c r="C1022" t="s">
        <v>16</v>
      </c>
      <c r="D1022" t="s">
        <v>35</v>
      </c>
      <c r="E1022" t="s">
        <v>50</v>
      </c>
      <c r="F1022" t="s">
        <v>36</v>
      </c>
      <c r="G1022" t="s">
        <v>20</v>
      </c>
      <c r="H1022">
        <v>103788</v>
      </c>
      <c r="I1022">
        <v>6</v>
      </c>
      <c r="J1022">
        <v>2</v>
      </c>
      <c r="K1022" t="s">
        <v>21</v>
      </c>
      <c r="L1022" t="s">
        <v>30</v>
      </c>
      <c r="M1022">
        <v>71</v>
      </c>
      <c r="N1022" t="s">
        <v>21</v>
      </c>
      <c r="O1022">
        <v>1</v>
      </c>
    </row>
    <row r="1023" spans="1:15" x14ac:dyDescent="0.3">
      <c r="A1023" t="s">
        <v>1061</v>
      </c>
      <c r="B1023">
        <v>21</v>
      </c>
      <c r="C1023" t="s">
        <v>16</v>
      </c>
      <c r="D1023" t="s">
        <v>35</v>
      </c>
      <c r="E1023" t="s">
        <v>50</v>
      </c>
      <c r="F1023" t="s">
        <v>38</v>
      </c>
      <c r="G1023" t="s">
        <v>28</v>
      </c>
      <c r="H1023">
        <v>116870</v>
      </c>
      <c r="I1023">
        <v>3</v>
      </c>
      <c r="J1023">
        <v>7</v>
      </c>
      <c r="K1023" t="s">
        <v>29</v>
      </c>
      <c r="L1023" t="s">
        <v>45</v>
      </c>
      <c r="M1023">
        <v>69</v>
      </c>
      <c r="N1023" t="s">
        <v>29</v>
      </c>
      <c r="O1023">
        <v>3</v>
      </c>
    </row>
    <row r="1024" spans="1:15" x14ac:dyDescent="0.3">
      <c r="A1024" t="s">
        <v>1062</v>
      </c>
      <c r="B1024">
        <v>52</v>
      </c>
      <c r="C1024" t="s">
        <v>24</v>
      </c>
      <c r="D1024" t="s">
        <v>35</v>
      </c>
      <c r="E1024" t="s">
        <v>18</v>
      </c>
      <c r="F1024" t="s">
        <v>36</v>
      </c>
      <c r="G1024" t="s">
        <v>28</v>
      </c>
      <c r="H1024">
        <v>104585</v>
      </c>
      <c r="I1024">
        <v>18</v>
      </c>
      <c r="J1024">
        <v>7</v>
      </c>
      <c r="K1024" t="s">
        <v>29</v>
      </c>
      <c r="L1024" t="s">
        <v>30</v>
      </c>
      <c r="M1024">
        <v>31</v>
      </c>
      <c r="N1024" t="s">
        <v>21</v>
      </c>
      <c r="O1024">
        <v>5</v>
      </c>
    </row>
    <row r="1025" spans="1:15" x14ac:dyDescent="0.3">
      <c r="A1025" t="s">
        <v>1063</v>
      </c>
      <c r="B1025">
        <v>33</v>
      </c>
      <c r="C1025" t="s">
        <v>24</v>
      </c>
      <c r="D1025" t="s">
        <v>32</v>
      </c>
      <c r="E1025" t="s">
        <v>33</v>
      </c>
      <c r="F1025" t="s">
        <v>27</v>
      </c>
      <c r="G1025" t="s">
        <v>28</v>
      </c>
      <c r="H1025">
        <v>103308</v>
      </c>
      <c r="I1025">
        <v>11</v>
      </c>
      <c r="J1025">
        <v>5</v>
      </c>
      <c r="K1025" t="s">
        <v>29</v>
      </c>
      <c r="L1025" t="s">
        <v>30</v>
      </c>
      <c r="M1025">
        <v>52</v>
      </c>
      <c r="N1025" t="s">
        <v>29</v>
      </c>
      <c r="O1025">
        <v>1</v>
      </c>
    </row>
    <row r="1026" spans="1:15" x14ac:dyDescent="0.3">
      <c r="A1026" t="s">
        <v>1064</v>
      </c>
      <c r="B1026">
        <v>50</v>
      </c>
      <c r="C1026" t="s">
        <v>16</v>
      </c>
      <c r="D1026" t="s">
        <v>35</v>
      </c>
      <c r="E1026" t="s">
        <v>41</v>
      </c>
      <c r="F1026" t="s">
        <v>36</v>
      </c>
      <c r="G1026" t="s">
        <v>20</v>
      </c>
      <c r="H1026">
        <v>71567</v>
      </c>
      <c r="I1026">
        <v>14</v>
      </c>
      <c r="J1026">
        <v>9</v>
      </c>
      <c r="K1026" t="s">
        <v>29</v>
      </c>
      <c r="L1026" t="s">
        <v>45</v>
      </c>
      <c r="M1026">
        <v>92</v>
      </c>
      <c r="N1026" t="s">
        <v>29</v>
      </c>
      <c r="O1026">
        <v>1</v>
      </c>
    </row>
    <row r="1027" spans="1:15" x14ac:dyDescent="0.3">
      <c r="A1027" t="s">
        <v>1065</v>
      </c>
      <c r="B1027">
        <v>43</v>
      </c>
      <c r="C1027" t="s">
        <v>16</v>
      </c>
      <c r="D1027" t="s">
        <v>25</v>
      </c>
      <c r="E1027" t="s">
        <v>50</v>
      </c>
      <c r="F1027" t="s">
        <v>36</v>
      </c>
      <c r="G1027" t="s">
        <v>28</v>
      </c>
      <c r="H1027">
        <v>77913</v>
      </c>
      <c r="I1027">
        <v>10</v>
      </c>
      <c r="J1027">
        <v>8</v>
      </c>
      <c r="K1027" t="s">
        <v>29</v>
      </c>
      <c r="L1027" t="s">
        <v>47</v>
      </c>
      <c r="M1027">
        <v>66</v>
      </c>
      <c r="N1027" t="s">
        <v>29</v>
      </c>
      <c r="O1027">
        <v>2</v>
      </c>
    </row>
    <row r="1028" spans="1:15" x14ac:dyDescent="0.3">
      <c r="A1028" t="s">
        <v>1066</v>
      </c>
      <c r="B1028">
        <v>39</v>
      </c>
      <c r="C1028" t="s">
        <v>24</v>
      </c>
      <c r="D1028" t="s">
        <v>44</v>
      </c>
      <c r="E1028" t="s">
        <v>33</v>
      </c>
      <c r="F1028" t="s">
        <v>27</v>
      </c>
      <c r="G1028" t="s">
        <v>28</v>
      </c>
      <c r="H1028">
        <v>22637</v>
      </c>
      <c r="I1028">
        <v>4</v>
      </c>
      <c r="J1028">
        <v>8</v>
      </c>
      <c r="K1028" t="s">
        <v>29</v>
      </c>
      <c r="L1028" t="s">
        <v>22</v>
      </c>
      <c r="M1028">
        <v>48</v>
      </c>
      <c r="N1028" t="s">
        <v>29</v>
      </c>
      <c r="O1028">
        <v>1</v>
      </c>
    </row>
    <row r="1029" spans="1:15" x14ac:dyDescent="0.3">
      <c r="A1029" t="s">
        <v>1067</v>
      </c>
      <c r="B1029">
        <v>52</v>
      </c>
      <c r="C1029" t="s">
        <v>24</v>
      </c>
      <c r="D1029" t="s">
        <v>32</v>
      </c>
      <c r="E1029" t="s">
        <v>26</v>
      </c>
      <c r="F1029" t="s">
        <v>19</v>
      </c>
      <c r="G1029" t="s">
        <v>28</v>
      </c>
      <c r="H1029">
        <v>92778</v>
      </c>
      <c r="I1029">
        <v>4</v>
      </c>
      <c r="J1029">
        <v>3</v>
      </c>
      <c r="K1029" t="s">
        <v>21</v>
      </c>
      <c r="L1029" t="s">
        <v>22</v>
      </c>
      <c r="M1029">
        <v>23</v>
      </c>
      <c r="N1029" t="s">
        <v>21</v>
      </c>
      <c r="O1029">
        <v>5</v>
      </c>
    </row>
    <row r="1030" spans="1:15" x14ac:dyDescent="0.3">
      <c r="A1030" t="s">
        <v>1068</v>
      </c>
      <c r="B1030">
        <v>50</v>
      </c>
      <c r="C1030" t="s">
        <v>16</v>
      </c>
      <c r="D1030" t="s">
        <v>35</v>
      </c>
      <c r="E1030" t="s">
        <v>50</v>
      </c>
      <c r="F1030" t="s">
        <v>38</v>
      </c>
      <c r="G1030" t="s">
        <v>20</v>
      </c>
      <c r="H1030">
        <v>62025</v>
      </c>
      <c r="I1030">
        <v>14</v>
      </c>
      <c r="J1030">
        <v>0</v>
      </c>
      <c r="K1030" t="s">
        <v>29</v>
      </c>
      <c r="L1030" t="s">
        <v>30</v>
      </c>
      <c r="M1030">
        <v>63</v>
      </c>
      <c r="N1030" t="s">
        <v>21</v>
      </c>
      <c r="O1030">
        <v>2</v>
      </c>
    </row>
    <row r="1031" spans="1:15" x14ac:dyDescent="0.3">
      <c r="A1031" t="s">
        <v>1069</v>
      </c>
      <c r="B1031">
        <v>49</v>
      </c>
      <c r="C1031" t="s">
        <v>24</v>
      </c>
      <c r="D1031" t="s">
        <v>17</v>
      </c>
      <c r="E1031" t="s">
        <v>41</v>
      </c>
      <c r="F1031" t="s">
        <v>27</v>
      </c>
      <c r="G1031" t="s">
        <v>20</v>
      </c>
      <c r="H1031">
        <v>119508</v>
      </c>
      <c r="I1031">
        <v>17</v>
      </c>
      <c r="J1031">
        <v>0</v>
      </c>
      <c r="K1031" t="s">
        <v>29</v>
      </c>
      <c r="L1031" t="s">
        <v>47</v>
      </c>
      <c r="M1031">
        <v>12</v>
      </c>
      <c r="N1031" t="s">
        <v>21</v>
      </c>
      <c r="O1031">
        <v>4</v>
      </c>
    </row>
    <row r="1032" spans="1:15" x14ac:dyDescent="0.3">
      <c r="A1032" t="s">
        <v>1070</v>
      </c>
      <c r="B1032">
        <v>49</v>
      </c>
      <c r="C1032" t="s">
        <v>16</v>
      </c>
      <c r="D1032" t="s">
        <v>17</v>
      </c>
      <c r="E1032" t="s">
        <v>26</v>
      </c>
      <c r="F1032" t="s">
        <v>36</v>
      </c>
      <c r="G1032" t="s">
        <v>28</v>
      </c>
      <c r="H1032">
        <v>102464</v>
      </c>
      <c r="I1032">
        <v>10</v>
      </c>
      <c r="J1032">
        <v>9</v>
      </c>
      <c r="K1032" t="s">
        <v>21</v>
      </c>
      <c r="L1032" t="s">
        <v>22</v>
      </c>
      <c r="M1032">
        <v>59</v>
      </c>
      <c r="N1032" t="s">
        <v>21</v>
      </c>
      <c r="O1032">
        <v>4</v>
      </c>
    </row>
    <row r="1033" spans="1:15" x14ac:dyDescent="0.3">
      <c r="A1033" t="s">
        <v>1071</v>
      </c>
      <c r="B1033">
        <v>50</v>
      </c>
      <c r="C1033" t="s">
        <v>16</v>
      </c>
      <c r="D1033" t="s">
        <v>44</v>
      </c>
      <c r="E1033" t="s">
        <v>26</v>
      </c>
      <c r="F1033" t="s">
        <v>38</v>
      </c>
      <c r="G1033" t="s">
        <v>20</v>
      </c>
      <c r="H1033">
        <v>48742</v>
      </c>
      <c r="I1033">
        <v>11</v>
      </c>
      <c r="J1033">
        <v>4</v>
      </c>
      <c r="K1033" t="s">
        <v>29</v>
      </c>
      <c r="L1033" t="s">
        <v>47</v>
      </c>
      <c r="M1033">
        <v>51</v>
      </c>
      <c r="N1033" t="s">
        <v>21</v>
      </c>
      <c r="O1033">
        <v>2</v>
      </c>
    </row>
    <row r="1034" spans="1:15" x14ac:dyDescent="0.3">
      <c r="A1034" t="s">
        <v>1072</v>
      </c>
      <c r="B1034">
        <v>36</v>
      </c>
      <c r="C1034" t="s">
        <v>16</v>
      </c>
      <c r="D1034" t="s">
        <v>40</v>
      </c>
      <c r="E1034" t="s">
        <v>41</v>
      </c>
      <c r="F1034" t="s">
        <v>27</v>
      </c>
      <c r="G1034" t="s">
        <v>20</v>
      </c>
      <c r="H1034">
        <v>31831</v>
      </c>
      <c r="I1034">
        <v>1</v>
      </c>
      <c r="J1034">
        <v>1</v>
      </c>
      <c r="K1034" t="s">
        <v>21</v>
      </c>
      <c r="L1034" t="s">
        <v>45</v>
      </c>
      <c r="M1034">
        <v>6</v>
      </c>
      <c r="N1034" t="s">
        <v>29</v>
      </c>
      <c r="O1034">
        <v>2</v>
      </c>
    </row>
    <row r="1035" spans="1:15" x14ac:dyDescent="0.3">
      <c r="A1035" t="s">
        <v>1073</v>
      </c>
      <c r="B1035">
        <v>39</v>
      </c>
      <c r="C1035" t="s">
        <v>16</v>
      </c>
      <c r="D1035" t="s">
        <v>40</v>
      </c>
      <c r="E1035" t="s">
        <v>50</v>
      </c>
      <c r="F1035" t="s">
        <v>38</v>
      </c>
      <c r="G1035" t="s">
        <v>28</v>
      </c>
      <c r="H1035">
        <v>105092</v>
      </c>
      <c r="I1035">
        <v>19</v>
      </c>
      <c r="J1035">
        <v>5</v>
      </c>
      <c r="K1035" t="s">
        <v>29</v>
      </c>
      <c r="L1035" t="s">
        <v>30</v>
      </c>
      <c r="M1035">
        <v>98</v>
      </c>
      <c r="N1035" t="s">
        <v>21</v>
      </c>
      <c r="O1035">
        <v>2</v>
      </c>
    </row>
    <row r="1036" spans="1:15" x14ac:dyDescent="0.3">
      <c r="A1036" t="s">
        <v>1074</v>
      </c>
      <c r="B1036">
        <v>38</v>
      </c>
      <c r="C1036" t="s">
        <v>24</v>
      </c>
      <c r="D1036" t="s">
        <v>32</v>
      </c>
      <c r="E1036" t="s">
        <v>18</v>
      </c>
      <c r="F1036" t="s">
        <v>38</v>
      </c>
      <c r="G1036" t="s">
        <v>20</v>
      </c>
      <c r="H1036">
        <v>110879</v>
      </c>
      <c r="I1036">
        <v>14</v>
      </c>
      <c r="J1036">
        <v>6</v>
      </c>
      <c r="K1036" t="s">
        <v>29</v>
      </c>
      <c r="L1036" t="s">
        <v>30</v>
      </c>
      <c r="M1036">
        <v>98</v>
      </c>
      <c r="N1036" t="s">
        <v>29</v>
      </c>
      <c r="O1036">
        <v>3</v>
      </c>
    </row>
    <row r="1037" spans="1:15" x14ac:dyDescent="0.3">
      <c r="A1037" t="s">
        <v>1075</v>
      </c>
      <c r="B1037">
        <v>21</v>
      </c>
      <c r="C1037" t="s">
        <v>24</v>
      </c>
      <c r="D1037" t="s">
        <v>32</v>
      </c>
      <c r="E1037" t="s">
        <v>41</v>
      </c>
      <c r="F1037" t="s">
        <v>27</v>
      </c>
      <c r="G1037" t="s">
        <v>20</v>
      </c>
      <c r="H1037">
        <v>108370</v>
      </c>
      <c r="I1037">
        <v>19</v>
      </c>
      <c r="J1037">
        <v>0</v>
      </c>
      <c r="K1037" t="s">
        <v>21</v>
      </c>
      <c r="L1037" t="s">
        <v>47</v>
      </c>
      <c r="M1037">
        <v>43</v>
      </c>
      <c r="N1037" t="s">
        <v>29</v>
      </c>
      <c r="O1037">
        <v>5</v>
      </c>
    </row>
    <row r="1038" spans="1:15" x14ac:dyDescent="0.3">
      <c r="A1038" t="s">
        <v>1076</v>
      </c>
      <c r="B1038">
        <v>34</v>
      </c>
      <c r="C1038" t="s">
        <v>24</v>
      </c>
      <c r="D1038" t="s">
        <v>32</v>
      </c>
      <c r="E1038" t="s">
        <v>41</v>
      </c>
      <c r="F1038" t="s">
        <v>38</v>
      </c>
      <c r="G1038" t="s">
        <v>28</v>
      </c>
      <c r="H1038">
        <v>66762</v>
      </c>
      <c r="I1038">
        <v>3</v>
      </c>
      <c r="J1038">
        <v>5</v>
      </c>
      <c r="K1038" t="s">
        <v>29</v>
      </c>
      <c r="L1038" t="s">
        <v>22</v>
      </c>
      <c r="M1038">
        <v>49</v>
      </c>
      <c r="N1038" t="s">
        <v>29</v>
      </c>
      <c r="O1038">
        <v>5</v>
      </c>
    </row>
    <row r="1039" spans="1:15" x14ac:dyDescent="0.3">
      <c r="A1039" t="s">
        <v>1077</v>
      </c>
      <c r="B1039">
        <v>22</v>
      </c>
      <c r="C1039" t="s">
        <v>24</v>
      </c>
      <c r="D1039" t="s">
        <v>40</v>
      </c>
      <c r="E1039" t="s">
        <v>41</v>
      </c>
      <c r="F1039" t="s">
        <v>19</v>
      </c>
      <c r="G1039" t="s">
        <v>20</v>
      </c>
      <c r="H1039">
        <v>118958</v>
      </c>
      <c r="I1039">
        <v>17</v>
      </c>
      <c r="J1039">
        <v>7</v>
      </c>
      <c r="K1039" t="s">
        <v>21</v>
      </c>
      <c r="L1039" t="s">
        <v>47</v>
      </c>
      <c r="M1039">
        <v>36</v>
      </c>
      <c r="N1039" t="s">
        <v>21</v>
      </c>
      <c r="O1039">
        <v>4</v>
      </c>
    </row>
    <row r="1040" spans="1:15" x14ac:dyDescent="0.3">
      <c r="A1040" t="s">
        <v>1078</v>
      </c>
      <c r="B1040">
        <v>48</v>
      </c>
      <c r="C1040" t="s">
        <v>24</v>
      </c>
      <c r="D1040" t="s">
        <v>17</v>
      </c>
      <c r="E1040" t="s">
        <v>26</v>
      </c>
      <c r="F1040" t="s">
        <v>27</v>
      </c>
      <c r="G1040" t="s">
        <v>20</v>
      </c>
      <c r="H1040">
        <v>108741</v>
      </c>
      <c r="I1040">
        <v>5</v>
      </c>
      <c r="J1040">
        <v>4</v>
      </c>
      <c r="K1040" t="s">
        <v>29</v>
      </c>
      <c r="L1040" t="s">
        <v>45</v>
      </c>
      <c r="M1040">
        <v>69</v>
      </c>
      <c r="N1040" t="s">
        <v>29</v>
      </c>
      <c r="O1040">
        <v>4</v>
      </c>
    </row>
    <row r="1041" spans="1:15" x14ac:dyDescent="0.3">
      <c r="A1041" t="s">
        <v>1079</v>
      </c>
      <c r="B1041">
        <v>50</v>
      </c>
      <c r="C1041" t="s">
        <v>24</v>
      </c>
      <c r="D1041" t="s">
        <v>40</v>
      </c>
      <c r="E1041" t="s">
        <v>33</v>
      </c>
      <c r="F1041" t="s">
        <v>19</v>
      </c>
      <c r="G1041" t="s">
        <v>20</v>
      </c>
      <c r="H1041">
        <v>38830</v>
      </c>
      <c r="I1041">
        <v>18</v>
      </c>
      <c r="J1041">
        <v>6</v>
      </c>
      <c r="K1041" t="s">
        <v>29</v>
      </c>
      <c r="L1041" t="s">
        <v>22</v>
      </c>
      <c r="M1041">
        <v>42</v>
      </c>
      <c r="N1041" t="s">
        <v>29</v>
      </c>
      <c r="O1041">
        <v>4</v>
      </c>
    </row>
    <row r="1042" spans="1:15" x14ac:dyDescent="0.3">
      <c r="A1042" t="s">
        <v>1080</v>
      </c>
      <c r="B1042">
        <v>58</v>
      </c>
      <c r="C1042" t="s">
        <v>24</v>
      </c>
      <c r="D1042" t="s">
        <v>25</v>
      </c>
      <c r="E1042" t="s">
        <v>18</v>
      </c>
      <c r="F1042" t="s">
        <v>36</v>
      </c>
      <c r="G1042" t="s">
        <v>20</v>
      </c>
      <c r="H1042">
        <v>75044</v>
      </c>
      <c r="I1042">
        <v>10</v>
      </c>
      <c r="J1042">
        <v>9</v>
      </c>
      <c r="K1042" t="s">
        <v>21</v>
      </c>
      <c r="L1042" t="s">
        <v>22</v>
      </c>
      <c r="M1042">
        <v>81</v>
      </c>
      <c r="N1042" t="s">
        <v>21</v>
      </c>
      <c r="O1042">
        <v>1</v>
      </c>
    </row>
    <row r="1043" spans="1:15" x14ac:dyDescent="0.3">
      <c r="A1043" t="s">
        <v>1081</v>
      </c>
      <c r="B1043">
        <v>24</v>
      </c>
      <c r="C1043" t="s">
        <v>16</v>
      </c>
      <c r="D1043" t="s">
        <v>35</v>
      </c>
      <c r="E1043" t="s">
        <v>50</v>
      </c>
      <c r="F1043" t="s">
        <v>38</v>
      </c>
      <c r="G1043" t="s">
        <v>20</v>
      </c>
      <c r="H1043">
        <v>93948</v>
      </c>
      <c r="I1043">
        <v>1</v>
      </c>
      <c r="J1043">
        <v>5</v>
      </c>
      <c r="K1043" t="s">
        <v>29</v>
      </c>
      <c r="L1043" t="s">
        <v>47</v>
      </c>
      <c r="M1043">
        <v>15</v>
      </c>
      <c r="N1043" t="s">
        <v>29</v>
      </c>
      <c r="O1043">
        <v>4</v>
      </c>
    </row>
    <row r="1044" spans="1:15" x14ac:dyDescent="0.3">
      <c r="A1044" t="s">
        <v>1082</v>
      </c>
      <c r="B1044">
        <v>21</v>
      </c>
      <c r="C1044" t="s">
        <v>24</v>
      </c>
      <c r="D1044" t="s">
        <v>32</v>
      </c>
      <c r="E1044" t="s">
        <v>50</v>
      </c>
      <c r="F1044" t="s">
        <v>36</v>
      </c>
      <c r="G1044" t="s">
        <v>20</v>
      </c>
      <c r="H1044">
        <v>89202</v>
      </c>
      <c r="I1044">
        <v>7</v>
      </c>
      <c r="J1044">
        <v>3</v>
      </c>
      <c r="K1044" t="s">
        <v>29</v>
      </c>
      <c r="L1044" t="s">
        <v>45</v>
      </c>
      <c r="M1044">
        <v>14</v>
      </c>
      <c r="N1044" t="s">
        <v>29</v>
      </c>
      <c r="O1044">
        <v>2</v>
      </c>
    </row>
    <row r="1045" spans="1:15" x14ac:dyDescent="0.3">
      <c r="A1045" t="s">
        <v>1083</v>
      </c>
      <c r="B1045">
        <v>28</v>
      </c>
      <c r="C1045" t="s">
        <v>24</v>
      </c>
      <c r="D1045" t="s">
        <v>17</v>
      </c>
      <c r="E1045" t="s">
        <v>33</v>
      </c>
      <c r="F1045" t="s">
        <v>36</v>
      </c>
      <c r="G1045" t="s">
        <v>20</v>
      </c>
      <c r="H1045">
        <v>57045</v>
      </c>
      <c r="I1045">
        <v>10</v>
      </c>
      <c r="J1045">
        <v>6</v>
      </c>
      <c r="K1045" t="s">
        <v>21</v>
      </c>
      <c r="L1045" t="s">
        <v>22</v>
      </c>
      <c r="M1045">
        <v>63</v>
      </c>
      <c r="N1045" t="s">
        <v>29</v>
      </c>
      <c r="O1045">
        <v>4</v>
      </c>
    </row>
    <row r="1046" spans="1:15" x14ac:dyDescent="0.3">
      <c r="A1046" t="s">
        <v>1084</v>
      </c>
      <c r="B1046">
        <v>49</v>
      </c>
      <c r="C1046" t="s">
        <v>16</v>
      </c>
      <c r="D1046" t="s">
        <v>44</v>
      </c>
      <c r="E1046" t="s">
        <v>41</v>
      </c>
      <c r="F1046" t="s">
        <v>38</v>
      </c>
      <c r="G1046" t="s">
        <v>20</v>
      </c>
      <c r="H1046">
        <v>106322</v>
      </c>
      <c r="I1046">
        <v>4</v>
      </c>
      <c r="J1046">
        <v>9</v>
      </c>
      <c r="K1046" t="s">
        <v>29</v>
      </c>
      <c r="L1046" t="s">
        <v>30</v>
      </c>
      <c r="M1046">
        <v>94</v>
      </c>
      <c r="N1046" t="s">
        <v>21</v>
      </c>
      <c r="O1046">
        <v>2</v>
      </c>
    </row>
    <row r="1047" spans="1:15" x14ac:dyDescent="0.3">
      <c r="A1047" t="s">
        <v>1085</v>
      </c>
      <c r="B1047">
        <v>59</v>
      </c>
      <c r="C1047" t="s">
        <v>24</v>
      </c>
      <c r="D1047" t="s">
        <v>44</v>
      </c>
      <c r="E1047" t="s">
        <v>18</v>
      </c>
      <c r="F1047" t="s">
        <v>27</v>
      </c>
      <c r="G1047" t="s">
        <v>28</v>
      </c>
      <c r="H1047">
        <v>91051</v>
      </c>
      <c r="I1047">
        <v>17</v>
      </c>
      <c r="J1047">
        <v>8</v>
      </c>
      <c r="K1047" t="s">
        <v>21</v>
      </c>
      <c r="L1047" t="s">
        <v>45</v>
      </c>
      <c r="M1047">
        <v>59</v>
      </c>
      <c r="N1047" t="s">
        <v>29</v>
      </c>
      <c r="O1047">
        <v>3</v>
      </c>
    </row>
    <row r="1048" spans="1:15" x14ac:dyDescent="0.3">
      <c r="A1048" t="s">
        <v>1086</v>
      </c>
      <c r="B1048">
        <v>23</v>
      </c>
      <c r="C1048" t="s">
        <v>24</v>
      </c>
      <c r="D1048" t="s">
        <v>35</v>
      </c>
      <c r="E1048" t="s">
        <v>50</v>
      </c>
      <c r="F1048" t="s">
        <v>38</v>
      </c>
      <c r="G1048" t="s">
        <v>28</v>
      </c>
      <c r="H1048">
        <v>46627</v>
      </c>
      <c r="I1048">
        <v>17</v>
      </c>
      <c r="J1048">
        <v>9</v>
      </c>
      <c r="K1048" t="s">
        <v>29</v>
      </c>
      <c r="L1048" t="s">
        <v>22</v>
      </c>
      <c r="M1048">
        <v>24</v>
      </c>
      <c r="N1048" t="s">
        <v>29</v>
      </c>
      <c r="O1048">
        <v>1</v>
      </c>
    </row>
    <row r="1049" spans="1:15" x14ac:dyDescent="0.3">
      <c r="A1049" t="s">
        <v>1087</v>
      </c>
      <c r="B1049">
        <v>52</v>
      </c>
      <c r="C1049" t="s">
        <v>16</v>
      </c>
      <c r="D1049" t="s">
        <v>17</v>
      </c>
      <c r="E1049" t="s">
        <v>50</v>
      </c>
      <c r="F1049" t="s">
        <v>36</v>
      </c>
      <c r="G1049" t="s">
        <v>28</v>
      </c>
      <c r="H1049">
        <v>35198</v>
      </c>
      <c r="I1049">
        <v>13</v>
      </c>
      <c r="J1049">
        <v>9</v>
      </c>
      <c r="K1049" t="s">
        <v>21</v>
      </c>
      <c r="L1049" t="s">
        <v>47</v>
      </c>
      <c r="M1049">
        <v>85</v>
      </c>
      <c r="N1049" t="s">
        <v>21</v>
      </c>
      <c r="O1049">
        <v>1</v>
      </c>
    </row>
    <row r="1050" spans="1:15" x14ac:dyDescent="0.3">
      <c r="A1050" t="s">
        <v>1088</v>
      </c>
      <c r="B1050">
        <v>30</v>
      </c>
      <c r="C1050" t="s">
        <v>24</v>
      </c>
      <c r="D1050" t="s">
        <v>40</v>
      </c>
      <c r="E1050" t="s">
        <v>41</v>
      </c>
      <c r="F1050" t="s">
        <v>36</v>
      </c>
      <c r="G1050" t="s">
        <v>28</v>
      </c>
      <c r="H1050">
        <v>89521</v>
      </c>
      <c r="I1050">
        <v>9</v>
      </c>
      <c r="J1050">
        <v>6</v>
      </c>
      <c r="K1050" t="s">
        <v>29</v>
      </c>
      <c r="L1050" t="s">
        <v>22</v>
      </c>
      <c r="M1050">
        <v>21</v>
      </c>
      <c r="N1050" t="s">
        <v>21</v>
      </c>
      <c r="O1050">
        <v>5</v>
      </c>
    </row>
    <row r="1051" spans="1:15" x14ac:dyDescent="0.3">
      <c r="A1051" t="s">
        <v>1089</v>
      </c>
      <c r="B1051">
        <v>30</v>
      </c>
      <c r="C1051" t="s">
        <v>24</v>
      </c>
      <c r="D1051" t="s">
        <v>40</v>
      </c>
      <c r="E1051" t="s">
        <v>33</v>
      </c>
      <c r="F1051" t="s">
        <v>27</v>
      </c>
      <c r="G1051" t="s">
        <v>20</v>
      </c>
      <c r="H1051">
        <v>49475</v>
      </c>
      <c r="I1051">
        <v>2</v>
      </c>
      <c r="J1051">
        <v>4</v>
      </c>
      <c r="K1051" t="s">
        <v>21</v>
      </c>
      <c r="L1051" t="s">
        <v>30</v>
      </c>
      <c r="M1051">
        <v>72</v>
      </c>
      <c r="N1051" t="s">
        <v>29</v>
      </c>
      <c r="O1051">
        <v>3</v>
      </c>
    </row>
    <row r="1052" spans="1:15" x14ac:dyDescent="0.3">
      <c r="A1052" t="s">
        <v>1090</v>
      </c>
      <c r="B1052">
        <v>39</v>
      </c>
      <c r="C1052" t="s">
        <v>24</v>
      </c>
      <c r="D1052" t="s">
        <v>25</v>
      </c>
      <c r="E1052" t="s">
        <v>18</v>
      </c>
      <c r="F1052" t="s">
        <v>38</v>
      </c>
      <c r="G1052" t="s">
        <v>28</v>
      </c>
      <c r="H1052">
        <v>39403</v>
      </c>
      <c r="I1052">
        <v>8</v>
      </c>
      <c r="J1052">
        <v>6</v>
      </c>
      <c r="K1052" t="s">
        <v>21</v>
      </c>
      <c r="L1052" t="s">
        <v>45</v>
      </c>
      <c r="M1052">
        <v>9</v>
      </c>
      <c r="N1052" t="s">
        <v>21</v>
      </c>
      <c r="O1052">
        <v>2</v>
      </c>
    </row>
    <row r="1053" spans="1:15" x14ac:dyDescent="0.3">
      <c r="A1053" t="s">
        <v>1091</v>
      </c>
      <c r="B1053">
        <v>54</v>
      </c>
      <c r="C1053" t="s">
        <v>16</v>
      </c>
      <c r="D1053" t="s">
        <v>25</v>
      </c>
      <c r="E1053" t="s">
        <v>33</v>
      </c>
      <c r="F1053" t="s">
        <v>36</v>
      </c>
      <c r="G1053" t="s">
        <v>28</v>
      </c>
      <c r="H1053">
        <v>23681</v>
      </c>
      <c r="I1053">
        <v>2</v>
      </c>
      <c r="J1053">
        <v>2</v>
      </c>
      <c r="K1053" t="s">
        <v>29</v>
      </c>
      <c r="L1053" t="s">
        <v>22</v>
      </c>
      <c r="M1053">
        <v>64</v>
      </c>
      <c r="N1053" t="s">
        <v>21</v>
      </c>
      <c r="O1053">
        <v>3</v>
      </c>
    </row>
    <row r="1054" spans="1:15" x14ac:dyDescent="0.3">
      <c r="A1054" t="s">
        <v>1092</v>
      </c>
      <c r="B1054">
        <v>53</v>
      </c>
      <c r="C1054" t="s">
        <v>24</v>
      </c>
      <c r="D1054" t="s">
        <v>40</v>
      </c>
      <c r="E1054" t="s">
        <v>33</v>
      </c>
      <c r="F1054" t="s">
        <v>19</v>
      </c>
      <c r="G1054" t="s">
        <v>20</v>
      </c>
      <c r="H1054">
        <v>111555</v>
      </c>
      <c r="I1054">
        <v>10</v>
      </c>
      <c r="J1054">
        <v>1</v>
      </c>
      <c r="K1054" t="s">
        <v>29</v>
      </c>
      <c r="L1054" t="s">
        <v>30</v>
      </c>
      <c r="M1054">
        <v>27</v>
      </c>
      <c r="N1054" t="s">
        <v>21</v>
      </c>
      <c r="O1054">
        <v>1</v>
      </c>
    </row>
    <row r="1055" spans="1:15" x14ac:dyDescent="0.3">
      <c r="A1055" t="s">
        <v>1093</v>
      </c>
      <c r="B1055">
        <v>43</v>
      </c>
      <c r="C1055" t="s">
        <v>24</v>
      </c>
      <c r="D1055" t="s">
        <v>44</v>
      </c>
      <c r="E1055" t="s">
        <v>18</v>
      </c>
      <c r="F1055" t="s">
        <v>36</v>
      </c>
      <c r="G1055" t="s">
        <v>20</v>
      </c>
      <c r="H1055">
        <v>113122</v>
      </c>
      <c r="I1055">
        <v>11</v>
      </c>
      <c r="J1055">
        <v>4</v>
      </c>
      <c r="K1055" t="s">
        <v>21</v>
      </c>
      <c r="L1055" t="s">
        <v>22</v>
      </c>
      <c r="M1055">
        <v>50</v>
      </c>
      <c r="N1055" t="s">
        <v>21</v>
      </c>
      <c r="O1055">
        <v>2</v>
      </c>
    </row>
    <row r="1056" spans="1:15" x14ac:dyDescent="0.3">
      <c r="A1056" t="s">
        <v>1094</v>
      </c>
      <c r="B1056">
        <v>48</v>
      </c>
      <c r="C1056" t="s">
        <v>16</v>
      </c>
      <c r="D1056" t="s">
        <v>32</v>
      </c>
      <c r="E1056" t="s">
        <v>18</v>
      </c>
      <c r="F1056" t="s">
        <v>36</v>
      </c>
      <c r="G1056" t="s">
        <v>20</v>
      </c>
      <c r="H1056">
        <v>62292</v>
      </c>
      <c r="I1056">
        <v>11</v>
      </c>
      <c r="J1056">
        <v>3</v>
      </c>
      <c r="K1056" t="s">
        <v>29</v>
      </c>
      <c r="L1056" t="s">
        <v>22</v>
      </c>
      <c r="M1056">
        <v>56</v>
      </c>
      <c r="N1056" t="s">
        <v>21</v>
      </c>
      <c r="O1056">
        <v>3</v>
      </c>
    </row>
    <row r="1057" spans="1:15" x14ac:dyDescent="0.3">
      <c r="A1057" t="s">
        <v>1095</v>
      </c>
      <c r="B1057">
        <v>52</v>
      </c>
      <c r="C1057" t="s">
        <v>24</v>
      </c>
      <c r="D1057" t="s">
        <v>44</v>
      </c>
      <c r="E1057" t="s">
        <v>50</v>
      </c>
      <c r="F1057" t="s">
        <v>27</v>
      </c>
      <c r="G1057" t="s">
        <v>20</v>
      </c>
      <c r="H1057">
        <v>25629</v>
      </c>
      <c r="I1057">
        <v>2</v>
      </c>
      <c r="J1057">
        <v>4</v>
      </c>
      <c r="K1057" t="s">
        <v>21</v>
      </c>
      <c r="L1057" t="s">
        <v>45</v>
      </c>
      <c r="M1057">
        <v>14</v>
      </c>
      <c r="N1057" t="s">
        <v>21</v>
      </c>
      <c r="O1057">
        <v>1</v>
      </c>
    </row>
    <row r="1058" spans="1:15" x14ac:dyDescent="0.3">
      <c r="A1058" t="s">
        <v>1096</v>
      </c>
      <c r="B1058">
        <v>27</v>
      </c>
      <c r="C1058" t="s">
        <v>16</v>
      </c>
      <c r="D1058" t="s">
        <v>25</v>
      </c>
      <c r="E1058" t="s">
        <v>50</v>
      </c>
      <c r="F1058" t="s">
        <v>19</v>
      </c>
      <c r="G1058" t="s">
        <v>20</v>
      </c>
      <c r="H1058">
        <v>113246</v>
      </c>
      <c r="I1058">
        <v>6</v>
      </c>
      <c r="J1058">
        <v>7</v>
      </c>
      <c r="K1058" t="s">
        <v>29</v>
      </c>
      <c r="L1058" t="s">
        <v>47</v>
      </c>
      <c r="M1058">
        <v>50</v>
      </c>
      <c r="N1058" t="s">
        <v>21</v>
      </c>
      <c r="O1058">
        <v>2</v>
      </c>
    </row>
    <row r="1059" spans="1:15" x14ac:dyDescent="0.3">
      <c r="A1059" t="s">
        <v>1097</v>
      </c>
      <c r="B1059">
        <v>49</v>
      </c>
      <c r="C1059" t="s">
        <v>16</v>
      </c>
      <c r="D1059" t="s">
        <v>35</v>
      </c>
      <c r="E1059" t="s">
        <v>18</v>
      </c>
      <c r="F1059" t="s">
        <v>36</v>
      </c>
      <c r="G1059" t="s">
        <v>28</v>
      </c>
      <c r="H1059">
        <v>115864</v>
      </c>
      <c r="I1059">
        <v>13</v>
      </c>
      <c r="J1059">
        <v>3</v>
      </c>
      <c r="K1059" t="s">
        <v>29</v>
      </c>
      <c r="L1059" t="s">
        <v>47</v>
      </c>
      <c r="M1059">
        <v>32</v>
      </c>
      <c r="N1059" t="s">
        <v>29</v>
      </c>
      <c r="O1059">
        <v>2</v>
      </c>
    </row>
    <row r="1060" spans="1:15" x14ac:dyDescent="0.3">
      <c r="A1060" t="s">
        <v>1098</v>
      </c>
      <c r="B1060">
        <v>28</v>
      </c>
      <c r="C1060" t="s">
        <v>24</v>
      </c>
      <c r="D1060" t="s">
        <v>40</v>
      </c>
      <c r="E1060" t="s">
        <v>26</v>
      </c>
      <c r="F1060" t="s">
        <v>36</v>
      </c>
      <c r="G1060" t="s">
        <v>20</v>
      </c>
      <c r="H1060">
        <v>97814</v>
      </c>
      <c r="I1060">
        <v>10</v>
      </c>
      <c r="J1060">
        <v>8</v>
      </c>
      <c r="K1060" t="s">
        <v>21</v>
      </c>
      <c r="L1060" t="s">
        <v>30</v>
      </c>
      <c r="M1060">
        <v>47</v>
      </c>
      <c r="N1060" t="s">
        <v>21</v>
      </c>
      <c r="O1060">
        <v>1</v>
      </c>
    </row>
    <row r="1061" spans="1:15" x14ac:dyDescent="0.3">
      <c r="A1061" t="s">
        <v>1099</v>
      </c>
      <c r="B1061">
        <v>21</v>
      </c>
      <c r="C1061" t="s">
        <v>16</v>
      </c>
      <c r="D1061" t="s">
        <v>25</v>
      </c>
      <c r="E1061" t="s">
        <v>50</v>
      </c>
      <c r="F1061" t="s">
        <v>19</v>
      </c>
      <c r="G1061" t="s">
        <v>28</v>
      </c>
      <c r="H1061">
        <v>28417</v>
      </c>
      <c r="I1061">
        <v>6</v>
      </c>
      <c r="J1061">
        <v>6</v>
      </c>
      <c r="K1061" t="s">
        <v>21</v>
      </c>
      <c r="L1061" t="s">
        <v>30</v>
      </c>
      <c r="M1061">
        <v>30</v>
      </c>
      <c r="N1061" t="s">
        <v>21</v>
      </c>
      <c r="O1061">
        <v>2</v>
      </c>
    </row>
    <row r="1062" spans="1:15" x14ac:dyDescent="0.3">
      <c r="A1062" t="s">
        <v>1100</v>
      </c>
      <c r="B1062">
        <v>23</v>
      </c>
      <c r="C1062" t="s">
        <v>16</v>
      </c>
      <c r="D1062" t="s">
        <v>25</v>
      </c>
      <c r="E1062" t="s">
        <v>26</v>
      </c>
      <c r="F1062" t="s">
        <v>38</v>
      </c>
      <c r="G1062" t="s">
        <v>28</v>
      </c>
      <c r="H1062">
        <v>54765</v>
      </c>
      <c r="I1062">
        <v>9</v>
      </c>
      <c r="J1062">
        <v>9</v>
      </c>
      <c r="K1062" t="s">
        <v>29</v>
      </c>
      <c r="L1062" t="s">
        <v>30</v>
      </c>
      <c r="M1062">
        <v>59</v>
      </c>
      <c r="N1062" t="s">
        <v>21</v>
      </c>
      <c r="O1062">
        <v>1</v>
      </c>
    </row>
    <row r="1063" spans="1:15" x14ac:dyDescent="0.3">
      <c r="A1063" t="s">
        <v>1101</v>
      </c>
      <c r="B1063">
        <v>44</v>
      </c>
      <c r="C1063" t="s">
        <v>24</v>
      </c>
      <c r="D1063" t="s">
        <v>32</v>
      </c>
      <c r="E1063" t="s">
        <v>18</v>
      </c>
      <c r="F1063" t="s">
        <v>38</v>
      </c>
      <c r="G1063" t="s">
        <v>20</v>
      </c>
      <c r="H1063">
        <v>94499</v>
      </c>
      <c r="I1063">
        <v>10</v>
      </c>
      <c r="J1063">
        <v>6</v>
      </c>
      <c r="K1063" t="s">
        <v>29</v>
      </c>
      <c r="L1063" t="s">
        <v>45</v>
      </c>
      <c r="M1063">
        <v>52</v>
      </c>
      <c r="N1063" t="s">
        <v>29</v>
      </c>
      <c r="O1063">
        <v>4</v>
      </c>
    </row>
    <row r="1064" spans="1:15" x14ac:dyDescent="0.3">
      <c r="A1064" t="s">
        <v>1102</v>
      </c>
      <c r="B1064">
        <v>43</v>
      </c>
      <c r="C1064" t="s">
        <v>16</v>
      </c>
      <c r="D1064" t="s">
        <v>40</v>
      </c>
      <c r="E1064" t="s">
        <v>50</v>
      </c>
      <c r="F1064" t="s">
        <v>36</v>
      </c>
      <c r="G1064" t="s">
        <v>28</v>
      </c>
      <c r="H1064">
        <v>76574</v>
      </c>
      <c r="I1064">
        <v>14</v>
      </c>
      <c r="J1064">
        <v>7</v>
      </c>
      <c r="K1064" t="s">
        <v>29</v>
      </c>
      <c r="L1064" t="s">
        <v>47</v>
      </c>
      <c r="M1064">
        <v>33</v>
      </c>
      <c r="N1064" t="s">
        <v>21</v>
      </c>
      <c r="O1064">
        <v>4</v>
      </c>
    </row>
    <row r="1065" spans="1:15" x14ac:dyDescent="0.3">
      <c r="A1065" t="s">
        <v>1103</v>
      </c>
      <c r="B1065">
        <v>28</v>
      </c>
      <c r="C1065" t="s">
        <v>16</v>
      </c>
      <c r="D1065" t="s">
        <v>32</v>
      </c>
      <c r="E1065" t="s">
        <v>33</v>
      </c>
      <c r="F1065" t="s">
        <v>36</v>
      </c>
      <c r="G1065" t="s">
        <v>28</v>
      </c>
      <c r="H1065">
        <v>110545</v>
      </c>
      <c r="I1065">
        <v>18</v>
      </c>
      <c r="J1065">
        <v>5</v>
      </c>
      <c r="K1065" t="s">
        <v>29</v>
      </c>
      <c r="L1065" t="s">
        <v>30</v>
      </c>
      <c r="M1065">
        <v>31</v>
      </c>
      <c r="N1065" t="s">
        <v>21</v>
      </c>
      <c r="O1065">
        <v>2</v>
      </c>
    </row>
    <row r="1066" spans="1:15" x14ac:dyDescent="0.3">
      <c r="A1066" t="s">
        <v>1104</v>
      </c>
      <c r="B1066">
        <v>57</v>
      </c>
      <c r="C1066" t="s">
        <v>24</v>
      </c>
      <c r="D1066" t="s">
        <v>40</v>
      </c>
      <c r="E1066" t="s">
        <v>18</v>
      </c>
      <c r="F1066" t="s">
        <v>38</v>
      </c>
      <c r="G1066" t="s">
        <v>20</v>
      </c>
      <c r="H1066">
        <v>47675</v>
      </c>
      <c r="I1066">
        <v>15</v>
      </c>
      <c r="J1066">
        <v>7</v>
      </c>
      <c r="K1066" t="s">
        <v>29</v>
      </c>
      <c r="L1066" t="s">
        <v>30</v>
      </c>
      <c r="M1066">
        <v>22</v>
      </c>
      <c r="N1066" t="s">
        <v>29</v>
      </c>
      <c r="O1066">
        <v>2</v>
      </c>
    </row>
    <row r="1067" spans="1:15" x14ac:dyDescent="0.3">
      <c r="A1067" t="s">
        <v>1105</v>
      </c>
      <c r="B1067">
        <v>23</v>
      </c>
      <c r="C1067" t="s">
        <v>24</v>
      </c>
      <c r="D1067" t="s">
        <v>32</v>
      </c>
      <c r="E1067" t="s">
        <v>41</v>
      </c>
      <c r="F1067" t="s">
        <v>27</v>
      </c>
      <c r="G1067" t="s">
        <v>28</v>
      </c>
      <c r="H1067">
        <v>92267</v>
      </c>
      <c r="I1067">
        <v>19</v>
      </c>
      <c r="J1067">
        <v>2</v>
      </c>
      <c r="K1067" t="s">
        <v>21</v>
      </c>
      <c r="L1067" t="s">
        <v>22</v>
      </c>
      <c r="M1067">
        <v>64</v>
      </c>
      <c r="N1067" t="s">
        <v>21</v>
      </c>
      <c r="O1067">
        <v>1</v>
      </c>
    </row>
    <row r="1068" spans="1:15" x14ac:dyDescent="0.3">
      <c r="A1068" t="s">
        <v>1106</v>
      </c>
      <c r="B1068">
        <v>53</v>
      </c>
      <c r="C1068" t="s">
        <v>24</v>
      </c>
      <c r="D1068" t="s">
        <v>44</v>
      </c>
      <c r="E1068" t="s">
        <v>26</v>
      </c>
      <c r="F1068" t="s">
        <v>19</v>
      </c>
      <c r="G1068" t="s">
        <v>28</v>
      </c>
      <c r="H1068">
        <v>60563</v>
      </c>
      <c r="I1068">
        <v>11</v>
      </c>
      <c r="J1068">
        <v>9</v>
      </c>
      <c r="K1068" t="s">
        <v>29</v>
      </c>
      <c r="L1068" t="s">
        <v>22</v>
      </c>
      <c r="M1068">
        <v>78</v>
      </c>
      <c r="N1068" t="s">
        <v>29</v>
      </c>
      <c r="O1068">
        <v>2</v>
      </c>
    </row>
    <row r="1069" spans="1:15" x14ac:dyDescent="0.3">
      <c r="A1069" t="s">
        <v>1107</v>
      </c>
      <c r="B1069">
        <v>48</v>
      </c>
      <c r="C1069" t="s">
        <v>16</v>
      </c>
      <c r="D1069" t="s">
        <v>35</v>
      </c>
      <c r="E1069" t="s">
        <v>18</v>
      </c>
      <c r="F1069" t="s">
        <v>19</v>
      </c>
      <c r="G1069" t="s">
        <v>28</v>
      </c>
      <c r="H1069">
        <v>31332</v>
      </c>
      <c r="I1069">
        <v>17</v>
      </c>
      <c r="J1069">
        <v>9</v>
      </c>
      <c r="K1069" t="s">
        <v>29</v>
      </c>
      <c r="L1069" t="s">
        <v>30</v>
      </c>
      <c r="M1069">
        <v>73</v>
      </c>
      <c r="N1069" t="s">
        <v>29</v>
      </c>
      <c r="O1069">
        <v>5</v>
      </c>
    </row>
    <row r="1070" spans="1:15" x14ac:dyDescent="0.3">
      <c r="A1070" t="s">
        <v>1108</v>
      </c>
      <c r="B1070">
        <v>28</v>
      </c>
      <c r="C1070" t="s">
        <v>24</v>
      </c>
      <c r="D1070" t="s">
        <v>35</v>
      </c>
      <c r="E1070" t="s">
        <v>18</v>
      </c>
      <c r="F1070" t="s">
        <v>27</v>
      </c>
      <c r="G1070" t="s">
        <v>20</v>
      </c>
      <c r="H1070">
        <v>39177</v>
      </c>
      <c r="I1070">
        <v>12</v>
      </c>
      <c r="J1070">
        <v>0</v>
      </c>
      <c r="K1070" t="s">
        <v>21</v>
      </c>
      <c r="L1070" t="s">
        <v>22</v>
      </c>
      <c r="M1070">
        <v>78</v>
      </c>
      <c r="N1070" t="s">
        <v>21</v>
      </c>
      <c r="O1070">
        <v>4</v>
      </c>
    </row>
    <row r="1071" spans="1:15" x14ac:dyDescent="0.3">
      <c r="A1071" t="s">
        <v>1109</v>
      </c>
      <c r="B1071">
        <v>54</v>
      </c>
      <c r="C1071" t="s">
        <v>16</v>
      </c>
      <c r="D1071" t="s">
        <v>40</v>
      </c>
      <c r="E1071" t="s">
        <v>50</v>
      </c>
      <c r="F1071" t="s">
        <v>27</v>
      </c>
      <c r="G1071" t="s">
        <v>20</v>
      </c>
      <c r="H1071">
        <v>109254</v>
      </c>
      <c r="I1071">
        <v>4</v>
      </c>
      <c r="J1071">
        <v>5</v>
      </c>
      <c r="K1071" t="s">
        <v>21</v>
      </c>
      <c r="L1071" t="s">
        <v>22</v>
      </c>
      <c r="M1071">
        <v>25</v>
      </c>
      <c r="N1071" t="s">
        <v>29</v>
      </c>
      <c r="O1071">
        <v>2</v>
      </c>
    </row>
    <row r="1072" spans="1:15" x14ac:dyDescent="0.3">
      <c r="A1072" t="s">
        <v>1110</v>
      </c>
      <c r="B1072">
        <v>55</v>
      </c>
      <c r="C1072" t="s">
        <v>16</v>
      </c>
      <c r="D1072" t="s">
        <v>17</v>
      </c>
      <c r="E1072" t="s">
        <v>50</v>
      </c>
      <c r="F1072" t="s">
        <v>27</v>
      </c>
      <c r="G1072" t="s">
        <v>20</v>
      </c>
      <c r="H1072">
        <v>88447</v>
      </c>
      <c r="I1072">
        <v>3</v>
      </c>
      <c r="J1072">
        <v>0</v>
      </c>
      <c r="K1072" t="s">
        <v>21</v>
      </c>
      <c r="L1072" t="s">
        <v>22</v>
      </c>
      <c r="M1072">
        <v>28</v>
      </c>
      <c r="N1072" t="s">
        <v>21</v>
      </c>
      <c r="O1072">
        <v>2</v>
      </c>
    </row>
    <row r="1073" spans="1:15" x14ac:dyDescent="0.3">
      <c r="A1073" t="s">
        <v>1111</v>
      </c>
      <c r="B1073">
        <v>52</v>
      </c>
      <c r="C1073" t="s">
        <v>16</v>
      </c>
      <c r="D1073" t="s">
        <v>25</v>
      </c>
      <c r="E1073" t="s">
        <v>50</v>
      </c>
      <c r="F1073" t="s">
        <v>27</v>
      </c>
      <c r="G1073" t="s">
        <v>28</v>
      </c>
      <c r="H1073">
        <v>77104</v>
      </c>
      <c r="I1073">
        <v>13</v>
      </c>
      <c r="J1073">
        <v>8</v>
      </c>
      <c r="K1073" t="s">
        <v>29</v>
      </c>
      <c r="L1073" t="s">
        <v>45</v>
      </c>
      <c r="M1073">
        <v>7</v>
      </c>
      <c r="N1073" t="s">
        <v>21</v>
      </c>
      <c r="O1073">
        <v>3</v>
      </c>
    </row>
    <row r="1074" spans="1:15" x14ac:dyDescent="0.3">
      <c r="A1074" t="s">
        <v>1112</v>
      </c>
      <c r="B1074">
        <v>44</v>
      </c>
      <c r="C1074" t="s">
        <v>16</v>
      </c>
      <c r="D1074" t="s">
        <v>25</v>
      </c>
      <c r="E1074" t="s">
        <v>41</v>
      </c>
      <c r="F1074" t="s">
        <v>27</v>
      </c>
      <c r="G1074" t="s">
        <v>20</v>
      </c>
      <c r="H1074">
        <v>104335</v>
      </c>
      <c r="I1074">
        <v>7</v>
      </c>
      <c r="J1074">
        <v>1</v>
      </c>
      <c r="K1074" t="s">
        <v>21</v>
      </c>
      <c r="L1074" t="s">
        <v>30</v>
      </c>
      <c r="M1074">
        <v>99</v>
      </c>
      <c r="N1074" t="s">
        <v>29</v>
      </c>
      <c r="O1074">
        <v>2</v>
      </c>
    </row>
    <row r="1075" spans="1:15" x14ac:dyDescent="0.3">
      <c r="A1075" t="s">
        <v>1113</v>
      </c>
      <c r="B1075">
        <v>34</v>
      </c>
      <c r="C1075" t="s">
        <v>16</v>
      </c>
      <c r="D1075" t="s">
        <v>40</v>
      </c>
      <c r="E1075" t="s">
        <v>50</v>
      </c>
      <c r="F1075" t="s">
        <v>27</v>
      </c>
      <c r="G1075" t="s">
        <v>28</v>
      </c>
      <c r="H1075">
        <v>100730</v>
      </c>
      <c r="I1075">
        <v>8</v>
      </c>
      <c r="J1075">
        <v>1</v>
      </c>
      <c r="K1075" t="s">
        <v>21</v>
      </c>
      <c r="L1075" t="s">
        <v>30</v>
      </c>
      <c r="M1075">
        <v>66</v>
      </c>
      <c r="N1075" t="s">
        <v>29</v>
      </c>
      <c r="O1075">
        <v>5</v>
      </c>
    </row>
    <row r="1076" spans="1:15" x14ac:dyDescent="0.3">
      <c r="A1076" t="s">
        <v>1114</v>
      </c>
      <c r="B1076">
        <v>52</v>
      </c>
      <c r="C1076" t="s">
        <v>16</v>
      </c>
      <c r="D1076" t="s">
        <v>32</v>
      </c>
      <c r="E1076" t="s">
        <v>18</v>
      </c>
      <c r="F1076" t="s">
        <v>19</v>
      </c>
      <c r="G1076" t="s">
        <v>20</v>
      </c>
      <c r="H1076">
        <v>24951</v>
      </c>
      <c r="I1076">
        <v>18</v>
      </c>
      <c r="J1076">
        <v>6</v>
      </c>
      <c r="K1076" t="s">
        <v>21</v>
      </c>
      <c r="L1076" t="s">
        <v>22</v>
      </c>
      <c r="M1076">
        <v>6</v>
      </c>
      <c r="N1076" t="s">
        <v>21</v>
      </c>
      <c r="O1076">
        <v>4</v>
      </c>
    </row>
    <row r="1077" spans="1:15" x14ac:dyDescent="0.3">
      <c r="A1077" t="s">
        <v>1115</v>
      </c>
      <c r="B1077">
        <v>36</v>
      </c>
      <c r="C1077" t="s">
        <v>16</v>
      </c>
      <c r="D1077" t="s">
        <v>17</v>
      </c>
      <c r="E1077" t="s">
        <v>50</v>
      </c>
      <c r="F1077" t="s">
        <v>27</v>
      </c>
      <c r="G1077" t="s">
        <v>28</v>
      </c>
      <c r="H1077">
        <v>48333</v>
      </c>
      <c r="I1077">
        <v>2</v>
      </c>
      <c r="J1077">
        <v>1</v>
      </c>
      <c r="K1077" t="s">
        <v>21</v>
      </c>
      <c r="L1077" t="s">
        <v>45</v>
      </c>
      <c r="M1077">
        <v>70</v>
      </c>
      <c r="N1077" t="s">
        <v>21</v>
      </c>
      <c r="O1077">
        <v>3</v>
      </c>
    </row>
    <row r="1078" spans="1:15" x14ac:dyDescent="0.3">
      <c r="A1078" t="s">
        <v>1116</v>
      </c>
      <c r="B1078">
        <v>24</v>
      </c>
      <c r="C1078" t="s">
        <v>24</v>
      </c>
      <c r="D1078" t="s">
        <v>44</v>
      </c>
      <c r="E1078" t="s">
        <v>33</v>
      </c>
      <c r="F1078" t="s">
        <v>38</v>
      </c>
      <c r="G1078" t="s">
        <v>20</v>
      </c>
      <c r="H1078">
        <v>41673</v>
      </c>
      <c r="I1078">
        <v>4</v>
      </c>
      <c r="J1078">
        <v>9</v>
      </c>
      <c r="K1078" t="s">
        <v>29</v>
      </c>
      <c r="L1078" t="s">
        <v>22</v>
      </c>
      <c r="M1078">
        <v>46</v>
      </c>
      <c r="N1078" t="s">
        <v>29</v>
      </c>
      <c r="O1078">
        <v>1</v>
      </c>
    </row>
    <row r="1079" spans="1:15" x14ac:dyDescent="0.3">
      <c r="A1079" t="s">
        <v>1117</v>
      </c>
      <c r="B1079">
        <v>57</v>
      </c>
      <c r="C1079" t="s">
        <v>24</v>
      </c>
      <c r="D1079" t="s">
        <v>32</v>
      </c>
      <c r="E1079" t="s">
        <v>50</v>
      </c>
      <c r="F1079" t="s">
        <v>27</v>
      </c>
      <c r="G1079" t="s">
        <v>20</v>
      </c>
      <c r="H1079">
        <v>60870</v>
      </c>
      <c r="I1079">
        <v>17</v>
      </c>
      <c r="J1079">
        <v>7</v>
      </c>
      <c r="K1079" t="s">
        <v>29</v>
      </c>
      <c r="L1079" t="s">
        <v>45</v>
      </c>
      <c r="M1079">
        <v>38</v>
      </c>
      <c r="N1079" t="s">
        <v>21</v>
      </c>
      <c r="O1079">
        <v>1</v>
      </c>
    </row>
    <row r="1080" spans="1:15" x14ac:dyDescent="0.3">
      <c r="A1080" t="s">
        <v>1118</v>
      </c>
      <c r="B1080">
        <v>41</v>
      </c>
      <c r="C1080" t="s">
        <v>16</v>
      </c>
      <c r="D1080" t="s">
        <v>32</v>
      </c>
      <c r="E1080" t="s">
        <v>41</v>
      </c>
      <c r="F1080" t="s">
        <v>27</v>
      </c>
      <c r="G1080" t="s">
        <v>28</v>
      </c>
      <c r="H1080">
        <v>91101</v>
      </c>
      <c r="I1080">
        <v>0</v>
      </c>
      <c r="J1080">
        <v>5</v>
      </c>
      <c r="K1080" t="s">
        <v>29</v>
      </c>
      <c r="L1080" t="s">
        <v>30</v>
      </c>
      <c r="M1080">
        <v>46</v>
      </c>
      <c r="N1080" t="s">
        <v>21</v>
      </c>
      <c r="O1080">
        <v>4</v>
      </c>
    </row>
    <row r="1081" spans="1:15" x14ac:dyDescent="0.3">
      <c r="A1081" t="s">
        <v>1119</v>
      </c>
      <c r="B1081">
        <v>34</v>
      </c>
      <c r="C1081" t="s">
        <v>16</v>
      </c>
      <c r="D1081" t="s">
        <v>40</v>
      </c>
      <c r="E1081" t="s">
        <v>33</v>
      </c>
      <c r="F1081" t="s">
        <v>19</v>
      </c>
      <c r="G1081" t="s">
        <v>20</v>
      </c>
      <c r="H1081">
        <v>42821</v>
      </c>
      <c r="I1081">
        <v>7</v>
      </c>
      <c r="J1081">
        <v>6</v>
      </c>
      <c r="K1081" t="s">
        <v>21</v>
      </c>
      <c r="L1081" t="s">
        <v>22</v>
      </c>
      <c r="M1081">
        <v>24</v>
      </c>
      <c r="N1081" t="s">
        <v>21</v>
      </c>
      <c r="O1081">
        <v>1</v>
      </c>
    </row>
    <row r="1082" spans="1:15" x14ac:dyDescent="0.3">
      <c r="A1082" t="s">
        <v>1120</v>
      </c>
      <c r="B1082">
        <v>51</v>
      </c>
      <c r="C1082" t="s">
        <v>24</v>
      </c>
      <c r="D1082" t="s">
        <v>40</v>
      </c>
      <c r="E1082" t="s">
        <v>18</v>
      </c>
      <c r="F1082" t="s">
        <v>19</v>
      </c>
      <c r="G1082" t="s">
        <v>28</v>
      </c>
      <c r="H1082">
        <v>45494</v>
      </c>
      <c r="I1082">
        <v>18</v>
      </c>
      <c r="J1082">
        <v>6</v>
      </c>
      <c r="K1082" t="s">
        <v>21</v>
      </c>
      <c r="L1082" t="s">
        <v>30</v>
      </c>
      <c r="M1082">
        <v>72</v>
      </c>
      <c r="N1082" t="s">
        <v>29</v>
      </c>
      <c r="O1082">
        <v>5</v>
      </c>
    </row>
    <row r="1083" spans="1:15" x14ac:dyDescent="0.3">
      <c r="A1083" t="s">
        <v>1121</v>
      </c>
      <c r="B1083">
        <v>38</v>
      </c>
      <c r="C1083" t="s">
        <v>16</v>
      </c>
      <c r="D1083" t="s">
        <v>25</v>
      </c>
      <c r="E1083" t="s">
        <v>18</v>
      </c>
      <c r="F1083" t="s">
        <v>27</v>
      </c>
      <c r="G1083" t="s">
        <v>20</v>
      </c>
      <c r="H1083">
        <v>119477</v>
      </c>
      <c r="I1083">
        <v>16</v>
      </c>
      <c r="J1083">
        <v>5</v>
      </c>
      <c r="K1083" t="s">
        <v>21</v>
      </c>
      <c r="L1083" t="s">
        <v>45</v>
      </c>
      <c r="M1083">
        <v>49</v>
      </c>
      <c r="N1083" t="s">
        <v>21</v>
      </c>
      <c r="O1083">
        <v>2</v>
      </c>
    </row>
    <row r="1084" spans="1:15" x14ac:dyDescent="0.3">
      <c r="A1084" t="s">
        <v>1122</v>
      </c>
      <c r="B1084">
        <v>27</v>
      </c>
      <c r="C1084" t="s">
        <v>24</v>
      </c>
      <c r="D1084" t="s">
        <v>40</v>
      </c>
      <c r="E1084" t="s">
        <v>26</v>
      </c>
      <c r="F1084" t="s">
        <v>19</v>
      </c>
      <c r="G1084" t="s">
        <v>20</v>
      </c>
      <c r="H1084">
        <v>94160</v>
      </c>
      <c r="I1084">
        <v>16</v>
      </c>
      <c r="J1084">
        <v>9</v>
      </c>
      <c r="K1084" t="s">
        <v>21</v>
      </c>
      <c r="L1084" t="s">
        <v>47</v>
      </c>
      <c r="M1084">
        <v>79</v>
      </c>
      <c r="N1084" t="s">
        <v>21</v>
      </c>
      <c r="O1084">
        <v>4</v>
      </c>
    </row>
    <row r="1085" spans="1:15" x14ac:dyDescent="0.3">
      <c r="A1085" t="s">
        <v>1123</v>
      </c>
      <c r="B1085">
        <v>30</v>
      </c>
      <c r="C1085" t="s">
        <v>24</v>
      </c>
      <c r="D1085" t="s">
        <v>40</v>
      </c>
      <c r="E1085" t="s">
        <v>33</v>
      </c>
      <c r="F1085" t="s">
        <v>36</v>
      </c>
      <c r="G1085" t="s">
        <v>28</v>
      </c>
      <c r="H1085">
        <v>20835</v>
      </c>
      <c r="I1085">
        <v>10</v>
      </c>
      <c r="J1085">
        <v>8</v>
      </c>
      <c r="K1085" t="s">
        <v>21</v>
      </c>
      <c r="L1085" t="s">
        <v>45</v>
      </c>
      <c r="M1085">
        <v>46</v>
      </c>
      <c r="N1085" t="s">
        <v>21</v>
      </c>
      <c r="O1085">
        <v>3</v>
      </c>
    </row>
    <row r="1086" spans="1:15" x14ac:dyDescent="0.3">
      <c r="A1086" t="s">
        <v>1124</v>
      </c>
      <c r="B1086">
        <v>27</v>
      </c>
      <c r="C1086" t="s">
        <v>24</v>
      </c>
      <c r="D1086" t="s">
        <v>40</v>
      </c>
      <c r="E1086" t="s">
        <v>26</v>
      </c>
      <c r="F1086" t="s">
        <v>19</v>
      </c>
      <c r="G1086" t="s">
        <v>28</v>
      </c>
      <c r="H1086">
        <v>38646</v>
      </c>
      <c r="I1086">
        <v>1</v>
      </c>
      <c r="J1086">
        <v>8</v>
      </c>
      <c r="K1086" t="s">
        <v>21</v>
      </c>
      <c r="L1086" t="s">
        <v>47</v>
      </c>
      <c r="M1086">
        <v>51</v>
      </c>
      <c r="N1086" t="s">
        <v>29</v>
      </c>
      <c r="O1086">
        <v>2</v>
      </c>
    </row>
    <row r="1087" spans="1:15" x14ac:dyDescent="0.3">
      <c r="A1087" t="s">
        <v>1125</v>
      </c>
      <c r="B1087">
        <v>53</v>
      </c>
      <c r="C1087" t="s">
        <v>16</v>
      </c>
      <c r="D1087" t="s">
        <v>25</v>
      </c>
      <c r="E1087" t="s">
        <v>33</v>
      </c>
      <c r="F1087" t="s">
        <v>19</v>
      </c>
      <c r="G1087" t="s">
        <v>28</v>
      </c>
      <c r="H1087">
        <v>97360</v>
      </c>
      <c r="I1087">
        <v>5</v>
      </c>
      <c r="J1087">
        <v>6</v>
      </c>
      <c r="K1087" t="s">
        <v>29</v>
      </c>
      <c r="L1087" t="s">
        <v>30</v>
      </c>
      <c r="M1087">
        <v>9</v>
      </c>
      <c r="N1087" t="s">
        <v>29</v>
      </c>
      <c r="O1087">
        <v>1</v>
      </c>
    </row>
    <row r="1088" spans="1:15" x14ac:dyDescent="0.3">
      <c r="A1088" t="s">
        <v>1126</v>
      </c>
      <c r="B1088">
        <v>43</v>
      </c>
      <c r="C1088" t="s">
        <v>16</v>
      </c>
      <c r="D1088" t="s">
        <v>44</v>
      </c>
      <c r="E1088" t="s">
        <v>33</v>
      </c>
      <c r="F1088" t="s">
        <v>19</v>
      </c>
      <c r="G1088" t="s">
        <v>20</v>
      </c>
      <c r="H1088">
        <v>57335</v>
      </c>
      <c r="I1088">
        <v>13</v>
      </c>
      <c r="J1088">
        <v>8</v>
      </c>
      <c r="K1088" t="s">
        <v>29</v>
      </c>
      <c r="L1088" t="s">
        <v>30</v>
      </c>
      <c r="M1088">
        <v>93</v>
      </c>
      <c r="N1088" t="s">
        <v>29</v>
      </c>
      <c r="O1088">
        <v>1</v>
      </c>
    </row>
    <row r="1089" spans="1:15" x14ac:dyDescent="0.3">
      <c r="A1089" t="s">
        <v>1127</v>
      </c>
      <c r="B1089">
        <v>41</v>
      </c>
      <c r="C1089" t="s">
        <v>24</v>
      </c>
      <c r="D1089" t="s">
        <v>44</v>
      </c>
      <c r="E1089" t="s">
        <v>41</v>
      </c>
      <c r="F1089" t="s">
        <v>19</v>
      </c>
      <c r="G1089" t="s">
        <v>28</v>
      </c>
      <c r="H1089">
        <v>89351</v>
      </c>
      <c r="I1089">
        <v>2</v>
      </c>
      <c r="J1089">
        <v>9</v>
      </c>
      <c r="K1089" t="s">
        <v>21</v>
      </c>
      <c r="L1089" t="s">
        <v>22</v>
      </c>
      <c r="M1089">
        <v>53</v>
      </c>
      <c r="N1089" t="s">
        <v>21</v>
      </c>
      <c r="O1089">
        <v>3</v>
      </c>
    </row>
    <row r="1090" spans="1:15" x14ac:dyDescent="0.3">
      <c r="A1090" t="s">
        <v>1128</v>
      </c>
      <c r="B1090">
        <v>39</v>
      </c>
      <c r="C1090" t="s">
        <v>24</v>
      </c>
      <c r="D1090" t="s">
        <v>40</v>
      </c>
      <c r="E1090" t="s">
        <v>26</v>
      </c>
      <c r="F1090" t="s">
        <v>38</v>
      </c>
      <c r="G1090" t="s">
        <v>20</v>
      </c>
      <c r="H1090">
        <v>22429</v>
      </c>
      <c r="I1090">
        <v>11</v>
      </c>
      <c r="J1090">
        <v>2</v>
      </c>
      <c r="K1090" t="s">
        <v>29</v>
      </c>
      <c r="L1090" t="s">
        <v>47</v>
      </c>
      <c r="M1090">
        <v>41</v>
      </c>
      <c r="N1090" t="s">
        <v>29</v>
      </c>
      <c r="O1090">
        <v>5</v>
      </c>
    </row>
    <row r="1091" spans="1:15" x14ac:dyDescent="0.3">
      <c r="A1091" t="s">
        <v>1129</v>
      </c>
      <c r="B1091">
        <v>39</v>
      </c>
      <c r="C1091" t="s">
        <v>24</v>
      </c>
      <c r="D1091" t="s">
        <v>25</v>
      </c>
      <c r="E1091" t="s">
        <v>41</v>
      </c>
      <c r="F1091" t="s">
        <v>38</v>
      </c>
      <c r="G1091" t="s">
        <v>28</v>
      </c>
      <c r="H1091">
        <v>61950</v>
      </c>
      <c r="I1091">
        <v>3</v>
      </c>
      <c r="J1091">
        <v>2</v>
      </c>
      <c r="K1091" t="s">
        <v>21</v>
      </c>
      <c r="L1091" t="s">
        <v>45</v>
      </c>
      <c r="M1091">
        <v>38</v>
      </c>
      <c r="N1091" t="s">
        <v>21</v>
      </c>
      <c r="O1091">
        <v>3</v>
      </c>
    </row>
    <row r="1092" spans="1:15" x14ac:dyDescent="0.3">
      <c r="A1092" t="s">
        <v>1130</v>
      </c>
      <c r="B1092">
        <v>56</v>
      </c>
      <c r="C1092" t="s">
        <v>24</v>
      </c>
      <c r="D1092" t="s">
        <v>44</v>
      </c>
      <c r="E1092" t="s">
        <v>33</v>
      </c>
      <c r="F1092" t="s">
        <v>38</v>
      </c>
      <c r="G1092" t="s">
        <v>28</v>
      </c>
      <c r="H1092">
        <v>80654</v>
      </c>
      <c r="I1092">
        <v>11</v>
      </c>
      <c r="J1092">
        <v>0</v>
      </c>
      <c r="K1092" t="s">
        <v>21</v>
      </c>
      <c r="L1092" t="s">
        <v>30</v>
      </c>
      <c r="M1092">
        <v>77</v>
      </c>
      <c r="N1092" t="s">
        <v>29</v>
      </c>
      <c r="O1092">
        <v>4</v>
      </c>
    </row>
    <row r="1093" spans="1:15" x14ac:dyDescent="0.3">
      <c r="A1093" t="s">
        <v>1131</v>
      </c>
      <c r="B1093">
        <v>49</v>
      </c>
      <c r="C1093" t="s">
        <v>24</v>
      </c>
      <c r="D1093" t="s">
        <v>32</v>
      </c>
      <c r="E1093" t="s">
        <v>18</v>
      </c>
      <c r="F1093" t="s">
        <v>27</v>
      </c>
      <c r="G1093" t="s">
        <v>28</v>
      </c>
      <c r="H1093">
        <v>88143</v>
      </c>
      <c r="I1093">
        <v>12</v>
      </c>
      <c r="J1093">
        <v>4</v>
      </c>
      <c r="K1093" t="s">
        <v>29</v>
      </c>
      <c r="L1093" t="s">
        <v>47</v>
      </c>
      <c r="M1093">
        <v>74</v>
      </c>
      <c r="N1093" t="s">
        <v>21</v>
      </c>
      <c r="O1093">
        <v>3</v>
      </c>
    </row>
    <row r="1094" spans="1:15" x14ac:dyDescent="0.3">
      <c r="A1094" t="s">
        <v>1132</v>
      </c>
      <c r="B1094">
        <v>38</v>
      </c>
      <c r="C1094" t="s">
        <v>16</v>
      </c>
      <c r="D1094" t="s">
        <v>44</v>
      </c>
      <c r="E1094" t="s">
        <v>33</v>
      </c>
      <c r="F1094" t="s">
        <v>27</v>
      </c>
      <c r="G1094" t="s">
        <v>28</v>
      </c>
      <c r="H1094">
        <v>111186</v>
      </c>
      <c r="I1094">
        <v>1</v>
      </c>
      <c r="J1094">
        <v>3</v>
      </c>
      <c r="K1094" t="s">
        <v>21</v>
      </c>
      <c r="L1094" t="s">
        <v>45</v>
      </c>
      <c r="M1094">
        <v>22</v>
      </c>
      <c r="N1094" t="s">
        <v>29</v>
      </c>
      <c r="O1094">
        <v>1</v>
      </c>
    </row>
    <row r="1095" spans="1:15" x14ac:dyDescent="0.3">
      <c r="A1095" t="s">
        <v>1133</v>
      </c>
      <c r="B1095">
        <v>22</v>
      </c>
      <c r="C1095" t="s">
        <v>24</v>
      </c>
      <c r="D1095" t="s">
        <v>44</v>
      </c>
      <c r="E1095" t="s">
        <v>41</v>
      </c>
      <c r="F1095" t="s">
        <v>36</v>
      </c>
      <c r="G1095" t="s">
        <v>28</v>
      </c>
      <c r="H1095">
        <v>117889</v>
      </c>
      <c r="I1095">
        <v>1</v>
      </c>
      <c r="J1095">
        <v>1</v>
      </c>
      <c r="K1095" t="s">
        <v>29</v>
      </c>
      <c r="L1095" t="s">
        <v>47</v>
      </c>
      <c r="M1095">
        <v>82</v>
      </c>
      <c r="N1095" t="s">
        <v>21</v>
      </c>
      <c r="O1095">
        <v>5</v>
      </c>
    </row>
    <row r="1096" spans="1:15" x14ac:dyDescent="0.3">
      <c r="A1096" t="s">
        <v>1134</v>
      </c>
      <c r="B1096">
        <v>21</v>
      </c>
      <c r="C1096" t="s">
        <v>16</v>
      </c>
      <c r="D1096" t="s">
        <v>25</v>
      </c>
      <c r="E1096" t="s">
        <v>26</v>
      </c>
      <c r="F1096" t="s">
        <v>38</v>
      </c>
      <c r="G1096" t="s">
        <v>28</v>
      </c>
      <c r="H1096">
        <v>97527</v>
      </c>
      <c r="I1096">
        <v>14</v>
      </c>
      <c r="J1096">
        <v>8</v>
      </c>
      <c r="K1096" t="s">
        <v>21</v>
      </c>
      <c r="L1096" t="s">
        <v>45</v>
      </c>
      <c r="M1096">
        <v>23</v>
      </c>
      <c r="N1096" t="s">
        <v>21</v>
      </c>
      <c r="O1096">
        <v>5</v>
      </c>
    </row>
    <row r="1097" spans="1:15" x14ac:dyDescent="0.3">
      <c r="A1097" t="s">
        <v>1135</v>
      </c>
      <c r="B1097">
        <v>25</v>
      </c>
      <c r="C1097" t="s">
        <v>24</v>
      </c>
      <c r="D1097" t="s">
        <v>32</v>
      </c>
      <c r="E1097" t="s">
        <v>26</v>
      </c>
      <c r="F1097" t="s">
        <v>27</v>
      </c>
      <c r="G1097" t="s">
        <v>20</v>
      </c>
      <c r="H1097">
        <v>106704</v>
      </c>
      <c r="I1097">
        <v>16</v>
      </c>
      <c r="J1097">
        <v>2</v>
      </c>
      <c r="K1097" t="s">
        <v>21</v>
      </c>
      <c r="L1097" t="s">
        <v>45</v>
      </c>
      <c r="M1097">
        <v>82</v>
      </c>
      <c r="N1097" t="s">
        <v>29</v>
      </c>
      <c r="O1097">
        <v>3</v>
      </c>
    </row>
    <row r="1098" spans="1:15" x14ac:dyDescent="0.3">
      <c r="A1098" t="s">
        <v>1136</v>
      </c>
      <c r="B1098">
        <v>40</v>
      </c>
      <c r="C1098" t="s">
        <v>16</v>
      </c>
      <c r="D1098" t="s">
        <v>25</v>
      </c>
      <c r="E1098" t="s">
        <v>41</v>
      </c>
      <c r="F1098" t="s">
        <v>19</v>
      </c>
      <c r="G1098" t="s">
        <v>28</v>
      </c>
      <c r="H1098">
        <v>51099</v>
      </c>
      <c r="I1098">
        <v>6</v>
      </c>
      <c r="J1098">
        <v>7</v>
      </c>
      <c r="K1098" t="s">
        <v>29</v>
      </c>
      <c r="L1098" t="s">
        <v>45</v>
      </c>
      <c r="M1098">
        <v>44</v>
      </c>
      <c r="N1098" t="s">
        <v>21</v>
      </c>
      <c r="O1098">
        <v>4</v>
      </c>
    </row>
    <row r="1099" spans="1:15" x14ac:dyDescent="0.3">
      <c r="A1099" t="s">
        <v>1137</v>
      </c>
      <c r="B1099">
        <v>31</v>
      </c>
      <c r="C1099" t="s">
        <v>16</v>
      </c>
      <c r="D1099" t="s">
        <v>40</v>
      </c>
      <c r="E1099" t="s">
        <v>26</v>
      </c>
      <c r="F1099" t="s">
        <v>19</v>
      </c>
      <c r="G1099" t="s">
        <v>20</v>
      </c>
      <c r="H1099">
        <v>59385</v>
      </c>
      <c r="I1099">
        <v>13</v>
      </c>
      <c r="J1099">
        <v>5</v>
      </c>
      <c r="K1099" t="s">
        <v>21</v>
      </c>
      <c r="L1099" t="s">
        <v>45</v>
      </c>
      <c r="M1099">
        <v>21</v>
      </c>
      <c r="N1099" t="s">
        <v>29</v>
      </c>
      <c r="O1099">
        <v>1</v>
      </c>
    </row>
    <row r="1100" spans="1:15" x14ac:dyDescent="0.3">
      <c r="A1100" t="s">
        <v>1138</v>
      </c>
      <c r="B1100">
        <v>22</v>
      </c>
      <c r="C1100" t="s">
        <v>16</v>
      </c>
      <c r="D1100" t="s">
        <v>35</v>
      </c>
      <c r="E1100" t="s">
        <v>50</v>
      </c>
      <c r="F1100" t="s">
        <v>38</v>
      </c>
      <c r="G1100" t="s">
        <v>28</v>
      </c>
      <c r="H1100">
        <v>55919</v>
      </c>
      <c r="I1100">
        <v>11</v>
      </c>
      <c r="J1100">
        <v>4</v>
      </c>
      <c r="K1100" t="s">
        <v>21</v>
      </c>
      <c r="L1100" t="s">
        <v>47</v>
      </c>
      <c r="M1100">
        <v>64</v>
      </c>
      <c r="N1100" t="s">
        <v>29</v>
      </c>
      <c r="O1100">
        <v>2</v>
      </c>
    </row>
    <row r="1101" spans="1:15" x14ac:dyDescent="0.3">
      <c r="A1101" t="s">
        <v>1139</v>
      </c>
      <c r="B1101">
        <v>23</v>
      </c>
      <c r="C1101" t="s">
        <v>16</v>
      </c>
      <c r="D1101" t="s">
        <v>44</v>
      </c>
      <c r="E1101" t="s">
        <v>18</v>
      </c>
      <c r="F1101" t="s">
        <v>36</v>
      </c>
      <c r="G1101" t="s">
        <v>28</v>
      </c>
      <c r="H1101">
        <v>116952</v>
      </c>
      <c r="I1101">
        <v>16</v>
      </c>
      <c r="J1101">
        <v>0</v>
      </c>
      <c r="K1101" t="s">
        <v>21</v>
      </c>
      <c r="L1101" t="s">
        <v>47</v>
      </c>
      <c r="M1101">
        <v>97</v>
      </c>
      <c r="N1101" t="s">
        <v>21</v>
      </c>
      <c r="O1101">
        <v>5</v>
      </c>
    </row>
    <row r="1102" spans="1:15" x14ac:dyDescent="0.3">
      <c r="A1102" t="s">
        <v>1140</v>
      </c>
      <c r="B1102">
        <v>43</v>
      </c>
      <c r="C1102" t="s">
        <v>16</v>
      </c>
      <c r="D1102" t="s">
        <v>35</v>
      </c>
      <c r="E1102" t="s">
        <v>18</v>
      </c>
      <c r="F1102" t="s">
        <v>36</v>
      </c>
      <c r="G1102" t="s">
        <v>28</v>
      </c>
      <c r="H1102">
        <v>80782</v>
      </c>
      <c r="I1102">
        <v>13</v>
      </c>
      <c r="J1102">
        <v>3</v>
      </c>
      <c r="K1102" t="s">
        <v>29</v>
      </c>
      <c r="L1102" t="s">
        <v>22</v>
      </c>
      <c r="M1102">
        <v>46</v>
      </c>
      <c r="N1102" t="s">
        <v>21</v>
      </c>
      <c r="O1102">
        <v>3</v>
      </c>
    </row>
    <row r="1103" spans="1:15" x14ac:dyDescent="0.3">
      <c r="A1103" t="s">
        <v>1141</v>
      </c>
      <c r="B1103">
        <v>32</v>
      </c>
      <c r="C1103" t="s">
        <v>16</v>
      </c>
      <c r="D1103" t="s">
        <v>25</v>
      </c>
      <c r="E1103" t="s">
        <v>18</v>
      </c>
      <c r="F1103" t="s">
        <v>19</v>
      </c>
      <c r="G1103" t="s">
        <v>20</v>
      </c>
      <c r="H1103">
        <v>91116</v>
      </c>
      <c r="I1103">
        <v>5</v>
      </c>
      <c r="J1103">
        <v>2</v>
      </c>
      <c r="K1103" t="s">
        <v>21</v>
      </c>
      <c r="L1103" t="s">
        <v>47</v>
      </c>
      <c r="M1103">
        <v>85</v>
      </c>
      <c r="N1103" t="s">
        <v>29</v>
      </c>
      <c r="O1103">
        <v>4</v>
      </c>
    </row>
    <row r="1104" spans="1:15" x14ac:dyDescent="0.3">
      <c r="A1104" t="s">
        <v>1142</v>
      </c>
      <c r="B1104">
        <v>40</v>
      </c>
      <c r="C1104" t="s">
        <v>24</v>
      </c>
      <c r="D1104" t="s">
        <v>25</v>
      </c>
      <c r="E1104" t="s">
        <v>26</v>
      </c>
      <c r="F1104" t="s">
        <v>36</v>
      </c>
      <c r="G1104" t="s">
        <v>20</v>
      </c>
      <c r="H1104">
        <v>92590</v>
      </c>
      <c r="I1104">
        <v>18</v>
      </c>
      <c r="J1104">
        <v>0</v>
      </c>
      <c r="K1104" t="s">
        <v>21</v>
      </c>
      <c r="L1104" t="s">
        <v>47</v>
      </c>
      <c r="M1104">
        <v>76</v>
      </c>
      <c r="N1104" t="s">
        <v>29</v>
      </c>
      <c r="O1104">
        <v>4</v>
      </c>
    </row>
    <row r="1105" spans="1:15" x14ac:dyDescent="0.3">
      <c r="A1105" t="s">
        <v>1143</v>
      </c>
      <c r="B1105">
        <v>25</v>
      </c>
      <c r="C1105" t="s">
        <v>16</v>
      </c>
      <c r="D1105" t="s">
        <v>25</v>
      </c>
      <c r="E1105" t="s">
        <v>26</v>
      </c>
      <c r="F1105" t="s">
        <v>38</v>
      </c>
      <c r="G1105" t="s">
        <v>28</v>
      </c>
      <c r="H1105">
        <v>109626</v>
      </c>
      <c r="I1105">
        <v>5</v>
      </c>
      <c r="J1105">
        <v>4</v>
      </c>
      <c r="K1105" t="s">
        <v>21</v>
      </c>
      <c r="L1105" t="s">
        <v>22</v>
      </c>
      <c r="M1105">
        <v>69</v>
      </c>
      <c r="N1105" t="s">
        <v>29</v>
      </c>
      <c r="O1105">
        <v>1</v>
      </c>
    </row>
    <row r="1106" spans="1:15" x14ac:dyDescent="0.3">
      <c r="A1106" t="s">
        <v>1144</v>
      </c>
      <c r="B1106">
        <v>57</v>
      </c>
      <c r="C1106" t="s">
        <v>24</v>
      </c>
      <c r="D1106" t="s">
        <v>35</v>
      </c>
      <c r="E1106" t="s">
        <v>33</v>
      </c>
      <c r="F1106" t="s">
        <v>19</v>
      </c>
      <c r="G1106" t="s">
        <v>20</v>
      </c>
      <c r="H1106">
        <v>60387</v>
      </c>
      <c r="I1106">
        <v>17</v>
      </c>
      <c r="J1106">
        <v>5</v>
      </c>
      <c r="K1106" t="s">
        <v>29</v>
      </c>
      <c r="L1106" t="s">
        <v>47</v>
      </c>
      <c r="M1106">
        <v>57</v>
      </c>
      <c r="N1106" t="s">
        <v>21</v>
      </c>
      <c r="O1106">
        <v>5</v>
      </c>
    </row>
    <row r="1107" spans="1:15" x14ac:dyDescent="0.3">
      <c r="A1107" t="s">
        <v>1145</v>
      </c>
      <c r="B1107">
        <v>58</v>
      </c>
      <c r="C1107" t="s">
        <v>16</v>
      </c>
      <c r="D1107" t="s">
        <v>25</v>
      </c>
      <c r="E1107" t="s">
        <v>33</v>
      </c>
      <c r="F1107" t="s">
        <v>27</v>
      </c>
      <c r="G1107" t="s">
        <v>28</v>
      </c>
      <c r="H1107">
        <v>35823</v>
      </c>
      <c r="I1107">
        <v>4</v>
      </c>
      <c r="J1107">
        <v>1</v>
      </c>
      <c r="K1107" t="s">
        <v>29</v>
      </c>
      <c r="L1107" t="s">
        <v>45</v>
      </c>
      <c r="M1107">
        <v>11</v>
      </c>
      <c r="N1107" t="s">
        <v>29</v>
      </c>
      <c r="O1107">
        <v>1</v>
      </c>
    </row>
    <row r="1108" spans="1:15" x14ac:dyDescent="0.3">
      <c r="A1108" t="s">
        <v>1146</v>
      </c>
      <c r="B1108">
        <v>50</v>
      </c>
      <c r="C1108" t="s">
        <v>16</v>
      </c>
      <c r="D1108" t="s">
        <v>40</v>
      </c>
      <c r="E1108" t="s">
        <v>18</v>
      </c>
      <c r="F1108" t="s">
        <v>27</v>
      </c>
      <c r="G1108" t="s">
        <v>28</v>
      </c>
      <c r="H1108">
        <v>66015</v>
      </c>
      <c r="I1108">
        <v>5</v>
      </c>
      <c r="J1108">
        <v>2</v>
      </c>
      <c r="K1108" t="s">
        <v>29</v>
      </c>
      <c r="L1108" t="s">
        <v>30</v>
      </c>
      <c r="M1108">
        <v>9</v>
      </c>
      <c r="N1108" t="s">
        <v>21</v>
      </c>
      <c r="O1108">
        <v>2</v>
      </c>
    </row>
    <row r="1109" spans="1:15" x14ac:dyDescent="0.3">
      <c r="A1109" t="s">
        <v>1147</v>
      </c>
      <c r="B1109">
        <v>29</v>
      </c>
      <c r="C1109" t="s">
        <v>24</v>
      </c>
      <c r="D1109" t="s">
        <v>25</v>
      </c>
      <c r="E1109" t="s">
        <v>50</v>
      </c>
      <c r="F1109" t="s">
        <v>36</v>
      </c>
      <c r="G1109" t="s">
        <v>20</v>
      </c>
      <c r="H1109">
        <v>35339</v>
      </c>
      <c r="I1109">
        <v>1</v>
      </c>
      <c r="J1109">
        <v>5</v>
      </c>
      <c r="K1109" t="s">
        <v>29</v>
      </c>
      <c r="L1109" t="s">
        <v>30</v>
      </c>
      <c r="M1109">
        <v>28</v>
      </c>
      <c r="N1109" t="s">
        <v>21</v>
      </c>
      <c r="O1109">
        <v>2</v>
      </c>
    </row>
    <row r="1110" spans="1:15" x14ac:dyDescent="0.3">
      <c r="A1110" t="s">
        <v>1148</v>
      </c>
      <c r="B1110">
        <v>54</v>
      </c>
      <c r="C1110" t="s">
        <v>16</v>
      </c>
      <c r="D1110" t="s">
        <v>17</v>
      </c>
      <c r="E1110" t="s">
        <v>33</v>
      </c>
      <c r="F1110" t="s">
        <v>19</v>
      </c>
      <c r="G1110" t="s">
        <v>20</v>
      </c>
      <c r="H1110">
        <v>23491</v>
      </c>
      <c r="I1110">
        <v>7</v>
      </c>
      <c r="J1110">
        <v>3</v>
      </c>
      <c r="K1110" t="s">
        <v>29</v>
      </c>
      <c r="L1110" t="s">
        <v>22</v>
      </c>
      <c r="M1110">
        <v>32</v>
      </c>
      <c r="N1110" t="s">
        <v>29</v>
      </c>
      <c r="O1110">
        <v>2</v>
      </c>
    </row>
    <row r="1111" spans="1:15" x14ac:dyDescent="0.3">
      <c r="A1111" t="s">
        <v>1149</v>
      </c>
      <c r="B1111">
        <v>55</v>
      </c>
      <c r="C1111" t="s">
        <v>24</v>
      </c>
      <c r="D1111" t="s">
        <v>35</v>
      </c>
      <c r="E1111" t="s">
        <v>33</v>
      </c>
      <c r="F1111" t="s">
        <v>19</v>
      </c>
      <c r="G1111" t="s">
        <v>20</v>
      </c>
      <c r="H1111">
        <v>20706</v>
      </c>
      <c r="I1111">
        <v>14</v>
      </c>
      <c r="J1111">
        <v>8</v>
      </c>
      <c r="K1111" t="s">
        <v>21</v>
      </c>
      <c r="L1111" t="s">
        <v>47</v>
      </c>
      <c r="M1111">
        <v>66</v>
      </c>
      <c r="N1111" t="s">
        <v>29</v>
      </c>
      <c r="O1111">
        <v>4</v>
      </c>
    </row>
    <row r="1112" spans="1:15" x14ac:dyDescent="0.3">
      <c r="A1112" t="s">
        <v>1150</v>
      </c>
      <c r="B1112">
        <v>42</v>
      </c>
      <c r="C1112" t="s">
        <v>24</v>
      </c>
      <c r="D1112" t="s">
        <v>17</v>
      </c>
      <c r="E1112" t="s">
        <v>26</v>
      </c>
      <c r="F1112" t="s">
        <v>27</v>
      </c>
      <c r="G1112" t="s">
        <v>20</v>
      </c>
      <c r="H1112">
        <v>117493</v>
      </c>
      <c r="I1112">
        <v>14</v>
      </c>
      <c r="J1112">
        <v>4</v>
      </c>
      <c r="K1112" t="s">
        <v>29</v>
      </c>
      <c r="L1112" t="s">
        <v>47</v>
      </c>
      <c r="M1112">
        <v>21</v>
      </c>
      <c r="N1112" t="s">
        <v>21</v>
      </c>
      <c r="O1112">
        <v>5</v>
      </c>
    </row>
    <row r="1113" spans="1:15" x14ac:dyDescent="0.3">
      <c r="A1113" t="s">
        <v>1151</v>
      </c>
      <c r="B1113">
        <v>44</v>
      </c>
      <c r="C1113" t="s">
        <v>24</v>
      </c>
      <c r="D1113" t="s">
        <v>25</v>
      </c>
      <c r="E1113" t="s">
        <v>50</v>
      </c>
      <c r="F1113" t="s">
        <v>19</v>
      </c>
      <c r="G1113" t="s">
        <v>28</v>
      </c>
      <c r="H1113">
        <v>35728</v>
      </c>
      <c r="I1113">
        <v>10</v>
      </c>
      <c r="J1113">
        <v>3</v>
      </c>
      <c r="K1113" t="s">
        <v>29</v>
      </c>
      <c r="L1113" t="s">
        <v>22</v>
      </c>
      <c r="M1113">
        <v>24</v>
      </c>
      <c r="N1113" t="s">
        <v>21</v>
      </c>
      <c r="O1113">
        <v>1</v>
      </c>
    </row>
    <row r="1114" spans="1:15" x14ac:dyDescent="0.3">
      <c r="A1114" t="s">
        <v>1152</v>
      </c>
      <c r="B1114">
        <v>37</v>
      </c>
      <c r="C1114" t="s">
        <v>24</v>
      </c>
      <c r="D1114" t="s">
        <v>40</v>
      </c>
      <c r="E1114" t="s">
        <v>18</v>
      </c>
      <c r="F1114" t="s">
        <v>19</v>
      </c>
      <c r="G1114" t="s">
        <v>20</v>
      </c>
      <c r="H1114">
        <v>26997</v>
      </c>
      <c r="I1114">
        <v>0</v>
      </c>
      <c r="J1114">
        <v>1</v>
      </c>
      <c r="K1114" t="s">
        <v>21</v>
      </c>
      <c r="L1114" t="s">
        <v>30</v>
      </c>
      <c r="M1114">
        <v>7</v>
      </c>
      <c r="N1114" t="s">
        <v>21</v>
      </c>
      <c r="O1114">
        <v>1</v>
      </c>
    </row>
    <row r="1115" spans="1:15" x14ac:dyDescent="0.3">
      <c r="A1115" t="s">
        <v>1153</v>
      </c>
      <c r="B1115">
        <v>30</v>
      </c>
      <c r="C1115" t="s">
        <v>16</v>
      </c>
      <c r="D1115" t="s">
        <v>44</v>
      </c>
      <c r="E1115" t="s">
        <v>33</v>
      </c>
      <c r="F1115" t="s">
        <v>19</v>
      </c>
      <c r="G1115" t="s">
        <v>20</v>
      </c>
      <c r="H1115">
        <v>80408</v>
      </c>
      <c r="I1115">
        <v>17</v>
      </c>
      <c r="J1115">
        <v>5</v>
      </c>
      <c r="K1115" t="s">
        <v>29</v>
      </c>
      <c r="L1115" t="s">
        <v>45</v>
      </c>
      <c r="M1115">
        <v>41</v>
      </c>
      <c r="N1115" t="s">
        <v>21</v>
      </c>
      <c r="O1115">
        <v>2</v>
      </c>
    </row>
    <row r="1116" spans="1:15" x14ac:dyDescent="0.3">
      <c r="A1116" t="s">
        <v>1154</v>
      </c>
      <c r="B1116">
        <v>50</v>
      </c>
      <c r="C1116" t="s">
        <v>16</v>
      </c>
      <c r="D1116" t="s">
        <v>32</v>
      </c>
      <c r="E1116" t="s">
        <v>50</v>
      </c>
      <c r="F1116" t="s">
        <v>36</v>
      </c>
      <c r="G1116" t="s">
        <v>28</v>
      </c>
      <c r="H1116">
        <v>78097</v>
      </c>
      <c r="I1116">
        <v>11</v>
      </c>
      <c r="J1116">
        <v>9</v>
      </c>
      <c r="K1116" t="s">
        <v>21</v>
      </c>
      <c r="L1116" t="s">
        <v>47</v>
      </c>
      <c r="M1116">
        <v>94</v>
      </c>
      <c r="N1116" t="s">
        <v>29</v>
      </c>
      <c r="O1116">
        <v>5</v>
      </c>
    </row>
    <row r="1117" spans="1:15" x14ac:dyDescent="0.3">
      <c r="A1117" t="s">
        <v>1155</v>
      </c>
      <c r="B1117">
        <v>43</v>
      </c>
      <c r="C1117" t="s">
        <v>24</v>
      </c>
      <c r="D1117" t="s">
        <v>32</v>
      </c>
      <c r="E1117" t="s">
        <v>50</v>
      </c>
      <c r="F1117" t="s">
        <v>19</v>
      </c>
      <c r="G1117" t="s">
        <v>20</v>
      </c>
      <c r="H1117">
        <v>58523</v>
      </c>
      <c r="I1117">
        <v>11</v>
      </c>
      <c r="J1117">
        <v>1</v>
      </c>
      <c r="K1117" t="s">
        <v>29</v>
      </c>
      <c r="L1117" t="s">
        <v>22</v>
      </c>
      <c r="M1117">
        <v>19</v>
      </c>
      <c r="N1117" t="s">
        <v>21</v>
      </c>
      <c r="O1117">
        <v>5</v>
      </c>
    </row>
    <row r="1118" spans="1:15" x14ac:dyDescent="0.3">
      <c r="A1118" t="s">
        <v>1156</v>
      </c>
      <c r="B1118">
        <v>52</v>
      </c>
      <c r="C1118" t="s">
        <v>16</v>
      </c>
      <c r="D1118" t="s">
        <v>25</v>
      </c>
      <c r="E1118" t="s">
        <v>18</v>
      </c>
      <c r="F1118" t="s">
        <v>38</v>
      </c>
      <c r="G1118" t="s">
        <v>20</v>
      </c>
      <c r="H1118">
        <v>45163</v>
      </c>
      <c r="I1118">
        <v>10</v>
      </c>
      <c r="J1118">
        <v>6</v>
      </c>
      <c r="K1118" t="s">
        <v>21</v>
      </c>
      <c r="L1118" t="s">
        <v>45</v>
      </c>
      <c r="M1118">
        <v>55</v>
      </c>
      <c r="N1118" t="s">
        <v>29</v>
      </c>
      <c r="O1118">
        <v>3</v>
      </c>
    </row>
    <row r="1119" spans="1:15" x14ac:dyDescent="0.3">
      <c r="A1119" t="s">
        <v>1157</v>
      </c>
      <c r="B1119">
        <v>37</v>
      </c>
      <c r="C1119" t="s">
        <v>16</v>
      </c>
      <c r="D1119" t="s">
        <v>40</v>
      </c>
      <c r="E1119" t="s">
        <v>50</v>
      </c>
      <c r="F1119" t="s">
        <v>36</v>
      </c>
      <c r="G1119" t="s">
        <v>20</v>
      </c>
      <c r="H1119">
        <v>37718</v>
      </c>
      <c r="I1119">
        <v>7</v>
      </c>
      <c r="J1119">
        <v>2</v>
      </c>
      <c r="K1119" t="s">
        <v>21</v>
      </c>
      <c r="L1119" t="s">
        <v>22</v>
      </c>
      <c r="M1119">
        <v>52</v>
      </c>
      <c r="N1119" t="s">
        <v>29</v>
      </c>
      <c r="O1119">
        <v>5</v>
      </c>
    </row>
    <row r="1120" spans="1:15" x14ac:dyDescent="0.3">
      <c r="A1120" t="s">
        <v>1158</v>
      </c>
      <c r="B1120">
        <v>37</v>
      </c>
      <c r="C1120" t="s">
        <v>24</v>
      </c>
      <c r="D1120" t="s">
        <v>35</v>
      </c>
      <c r="E1120" t="s">
        <v>50</v>
      </c>
      <c r="F1120" t="s">
        <v>19</v>
      </c>
      <c r="G1120" t="s">
        <v>20</v>
      </c>
      <c r="H1120">
        <v>107508</v>
      </c>
      <c r="I1120">
        <v>6</v>
      </c>
      <c r="J1120">
        <v>8</v>
      </c>
      <c r="K1120" t="s">
        <v>29</v>
      </c>
      <c r="L1120" t="s">
        <v>22</v>
      </c>
      <c r="M1120">
        <v>12</v>
      </c>
      <c r="N1120" t="s">
        <v>29</v>
      </c>
      <c r="O1120">
        <v>5</v>
      </c>
    </row>
    <row r="1121" spans="1:15" x14ac:dyDescent="0.3">
      <c r="A1121" t="s">
        <v>1159</v>
      </c>
      <c r="B1121">
        <v>34</v>
      </c>
      <c r="C1121" t="s">
        <v>16</v>
      </c>
      <c r="D1121" t="s">
        <v>17</v>
      </c>
      <c r="E1121" t="s">
        <v>50</v>
      </c>
      <c r="F1121" t="s">
        <v>19</v>
      </c>
      <c r="G1121" t="s">
        <v>28</v>
      </c>
      <c r="H1121">
        <v>103767</v>
      </c>
      <c r="I1121">
        <v>1</v>
      </c>
      <c r="J1121">
        <v>4</v>
      </c>
      <c r="K1121" t="s">
        <v>29</v>
      </c>
      <c r="L1121" t="s">
        <v>22</v>
      </c>
      <c r="M1121">
        <v>17</v>
      </c>
      <c r="N1121" t="s">
        <v>21</v>
      </c>
      <c r="O1121">
        <v>1</v>
      </c>
    </row>
    <row r="1122" spans="1:15" x14ac:dyDescent="0.3">
      <c r="A1122" t="s">
        <v>1160</v>
      </c>
      <c r="B1122">
        <v>29</v>
      </c>
      <c r="C1122" t="s">
        <v>24</v>
      </c>
      <c r="D1122" t="s">
        <v>17</v>
      </c>
      <c r="E1122" t="s">
        <v>33</v>
      </c>
      <c r="F1122" t="s">
        <v>38</v>
      </c>
      <c r="G1122" t="s">
        <v>28</v>
      </c>
      <c r="H1122">
        <v>59619</v>
      </c>
      <c r="I1122">
        <v>10</v>
      </c>
      <c r="J1122">
        <v>7</v>
      </c>
      <c r="K1122" t="s">
        <v>21</v>
      </c>
      <c r="L1122" t="s">
        <v>30</v>
      </c>
      <c r="M1122">
        <v>52</v>
      </c>
      <c r="N1122" t="s">
        <v>21</v>
      </c>
      <c r="O1122">
        <v>5</v>
      </c>
    </row>
    <row r="1123" spans="1:15" x14ac:dyDescent="0.3">
      <c r="A1123" t="s">
        <v>1161</v>
      </c>
      <c r="B1123">
        <v>22</v>
      </c>
      <c r="C1123" t="s">
        <v>24</v>
      </c>
      <c r="D1123" t="s">
        <v>17</v>
      </c>
      <c r="E1123" t="s">
        <v>18</v>
      </c>
      <c r="F1123" t="s">
        <v>36</v>
      </c>
      <c r="G1123" t="s">
        <v>20</v>
      </c>
      <c r="H1123">
        <v>32126</v>
      </c>
      <c r="I1123">
        <v>9</v>
      </c>
      <c r="J1123">
        <v>5</v>
      </c>
      <c r="K1123" t="s">
        <v>21</v>
      </c>
      <c r="L1123" t="s">
        <v>30</v>
      </c>
      <c r="M1123">
        <v>7</v>
      </c>
      <c r="N1123" t="s">
        <v>29</v>
      </c>
      <c r="O1123">
        <v>5</v>
      </c>
    </row>
    <row r="1124" spans="1:15" x14ac:dyDescent="0.3">
      <c r="A1124" t="s">
        <v>1162</v>
      </c>
      <c r="B1124">
        <v>45</v>
      </c>
      <c r="C1124" t="s">
        <v>16</v>
      </c>
      <c r="D1124" t="s">
        <v>35</v>
      </c>
      <c r="E1124" t="s">
        <v>50</v>
      </c>
      <c r="F1124" t="s">
        <v>27</v>
      </c>
      <c r="G1124" t="s">
        <v>20</v>
      </c>
      <c r="H1124">
        <v>109131</v>
      </c>
      <c r="I1124">
        <v>2</v>
      </c>
      <c r="J1124">
        <v>9</v>
      </c>
      <c r="K1124" t="s">
        <v>21</v>
      </c>
      <c r="L1124" t="s">
        <v>22</v>
      </c>
      <c r="M1124">
        <v>69</v>
      </c>
      <c r="N1124" t="s">
        <v>29</v>
      </c>
      <c r="O1124">
        <v>1</v>
      </c>
    </row>
    <row r="1125" spans="1:15" x14ac:dyDescent="0.3">
      <c r="A1125" t="s">
        <v>1163</v>
      </c>
      <c r="B1125">
        <v>59</v>
      </c>
      <c r="C1125" t="s">
        <v>16</v>
      </c>
      <c r="D1125" t="s">
        <v>32</v>
      </c>
      <c r="E1125" t="s">
        <v>50</v>
      </c>
      <c r="F1125" t="s">
        <v>27</v>
      </c>
      <c r="G1125" t="s">
        <v>28</v>
      </c>
      <c r="H1125">
        <v>84926</v>
      </c>
      <c r="I1125">
        <v>19</v>
      </c>
      <c r="J1125">
        <v>7</v>
      </c>
      <c r="K1125" t="s">
        <v>21</v>
      </c>
      <c r="L1125" t="s">
        <v>47</v>
      </c>
      <c r="M1125">
        <v>77</v>
      </c>
      <c r="N1125" t="s">
        <v>29</v>
      </c>
      <c r="O1125">
        <v>5</v>
      </c>
    </row>
    <row r="1126" spans="1:15" x14ac:dyDescent="0.3">
      <c r="A1126" t="s">
        <v>1164</v>
      </c>
      <c r="B1126">
        <v>29</v>
      </c>
      <c r="C1126" t="s">
        <v>16</v>
      </c>
      <c r="D1126" t="s">
        <v>40</v>
      </c>
      <c r="E1126" t="s">
        <v>33</v>
      </c>
      <c r="F1126" t="s">
        <v>36</v>
      </c>
      <c r="G1126" t="s">
        <v>20</v>
      </c>
      <c r="H1126">
        <v>60633</v>
      </c>
      <c r="I1126">
        <v>9</v>
      </c>
      <c r="J1126">
        <v>2</v>
      </c>
      <c r="K1126" t="s">
        <v>21</v>
      </c>
      <c r="L1126" t="s">
        <v>45</v>
      </c>
      <c r="M1126">
        <v>35</v>
      </c>
      <c r="N1126" t="s">
        <v>29</v>
      </c>
      <c r="O1126">
        <v>1</v>
      </c>
    </row>
    <row r="1127" spans="1:15" x14ac:dyDescent="0.3">
      <c r="A1127" t="s">
        <v>1165</v>
      </c>
      <c r="B1127">
        <v>42</v>
      </c>
      <c r="C1127" t="s">
        <v>24</v>
      </c>
      <c r="D1127" t="s">
        <v>35</v>
      </c>
      <c r="E1127" t="s">
        <v>18</v>
      </c>
      <c r="F1127" t="s">
        <v>19</v>
      </c>
      <c r="G1127" t="s">
        <v>20</v>
      </c>
      <c r="H1127">
        <v>97654</v>
      </c>
      <c r="I1127">
        <v>17</v>
      </c>
      <c r="J1127">
        <v>2</v>
      </c>
      <c r="K1127" t="s">
        <v>21</v>
      </c>
      <c r="L1127" t="s">
        <v>47</v>
      </c>
      <c r="M1127">
        <v>30</v>
      </c>
      <c r="N1127" t="s">
        <v>21</v>
      </c>
      <c r="O1127">
        <v>3</v>
      </c>
    </row>
    <row r="1128" spans="1:15" x14ac:dyDescent="0.3">
      <c r="A1128" t="s">
        <v>1166</v>
      </c>
      <c r="B1128">
        <v>24</v>
      </c>
      <c r="C1128" t="s">
        <v>24</v>
      </c>
      <c r="D1128" t="s">
        <v>17</v>
      </c>
      <c r="E1128" t="s">
        <v>26</v>
      </c>
      <c r="F1128" t="s">
        <v>19</v>
      </c>
      <c r="G1128" t="s">
        <v>20</v>
      </c>
      <c r="H1128">
        <v>23317</v>
      </c>
      <c r="I1128">
        <v>13</v>
      </c>
      <c r="J1128">
        <v>4</v>
      </c>
      <c r="K1128" t="s">
        <v>21</v>
      </c>
      <c r="L1128" t="s">
        <v>30</v>
      </c>
      <c r="M1128">
        <v>85</v>
      </c>
      <c r="N1128" t="s">
        <v>29</v>
      </c>
      <c r="O1128">
        <v>4</v>
      </c>
    </row>
    <row r="1129" spans="1:15" x14ac:dyDescent="0.3">
      <c r="A1129" t="s">
        <v>1167</v>
      </c>
      <c r="B1129">
        <v>46</v>
      </c>
      <c r="C1129" t="s">
        <v>16</v>
      </c>
      <c r="D1129" t="s">
        <v>25</v>
      </c>
      <c r="E1129" t="s">
        <v>33</v>
      </c>
      <c r="F1129" t="s">
        <v>27</v>
      </c>
      <c r="G1129" t="s">
        <v>20</v>
      </c>
      <c r="H1129">
        <v>64980</v>
      </c>
      <c r="I1129">
        <v>17</v>
      </c>
      <c r="J1129">
        <v>9</v>
      </c>
      <c r="K1129" t="s">
        <v>29</v>
      </c>
      <c r="L1129" t="s">
        <v>45</v>
      </c>
      <c r="M1129">
        <v>60</v>
      </c>
      <c r="N1129" t="s">
        <v>21</v>
      </c>
      <c r="O1129">
        <v>1</v>
      </c>
    </row>
    <row r="1130" spans="1:15" x14ac:dyDescent="0.3">
      <c r="A1130" t="s">
        <v>1168</v>
      </c>
      <c r="B1130">
        <v>49</v>
      </c>
      <c r="C1130" t="s">
        <v>16</v>
      </c>
      <c r="D1130" t="s">
        <v>44</v>
      </c>
      <c r="E1130" t="s">
        <v>18</v>
      </c>
      <c r="F1130" t="s">
        <v>27</v>
      </c>
      <c r="G1130" t="s">
        <v>20</v>
      </c>
      <c r="H1130">
        <v>64115</v>
      </c>
      <c r="I1130">
        <v>7</v>
      </c>
      <c r="J1130">
        <v>2</v>
      </c>
      <c r="K1130" t="s">
        <v>21</v>
      </c>
      <c r="L1130" t="s">
        <v>22</v>
      </c>
      <c r="M1130">
        <v>38</v>
      </c>
      <c r="N1130" t="s">
        <v>21</v>
      </c>
      <c r="O1130">
        <v>1</v>
      </c>
    </row>
    <row r="1131" spans="1:15" x14ac:dyDescent="0.3">
      <c r="A1131" t="s">
        <v>1169</v>
      </c>
      <c r="B1131">
        <v>54</v>
      </c>
      <c r="C1131" t="s">
        <v>16</v>
      </c>
      <c r="D1131" t="s">
        <v>35</v>
      </c>
      <c r="E1131" t="s">
        <v>50</v>
      </c>
      <c r="F1131" t="s">
        <v>27</v>
      </c>
      <c r="G1131" t="s">
        <v>20</v>
      </c>
      <c r="H1131">
        <v>81646</v>
      </c>
      <c r="I1131">
        <v>9</v>
      </c>
      <c r="J1131">
        <v>7</v>
      </c>
      <c r="K1131" t="s">
        <v>29</v>
      </c>
      <c r="L1131" t="s">
        <v>47</v>
      </c>
      <c r="M1131">
        <v>13</v>
      </c>
      <c r="N1131" t="s">
        <v>21</v>
      </c>
      <c r="O1131">
        <v>5</v>
      </c>
    </row>
    <row r="1132" spans="1:15" x14ac:dyDescent="0.3">
      <c r="A1132" t="s">
        <v>1170</v>
      </c>
      <c r="B1132">
        <v>43</v>
      </c>
      <c r="C1132" t="s">
        <v>16</v>
      </c>
      <c r="D1132" t="s">
        <v>35</v>
      </c>
      <c r="E1132" t="s">
        <v>18</v>
      </c>
      <c r="F1132" t="s">
        <v>38</v>
      </c>
      <c r="G1132" t="s">
        <v>20</v>
      </c>
      <c r="H1132">
        <v>63158</v>
      </c>
      <c r="I1132">
        <v>12</v>
      </c>
      <c r="J1132">
        <v>9</v>
      </c>
      <c r="K1132" t="s">
        <v>29</v>
      </c>
      <c r="L1132" t="s">
        <v>47</v>
      </c>
      <c r="M1132">
        <v>66</v>
      </c>
      <c r="N1132" t="s">
        <v>21</v>
      </c>
      <c r="O1132">
        <v>1</v>
      </c>
    </row>
    <row r="1133" spans="1:15" x14ac:dyDescent="0.3">
      <c r="A1133" t="s">
        <v>1171</v>
      </c>
      <c r="B1133">
        <v>57</v>
      </c>
      <c r="C1133" t="s">
        <v>24</v>
      </c>
      <c r="D1133" t="s">
        <v>40</v>
      </c>
      <c r="E1133" t="s">
        <v>18</v>
      </c>
      <c r="F1133" t="s">
        <v>27</v>
      </c>
      <c r="G1133" t="s">
        <v>20</v>
      </c>
      <c r="H1133">
        <v>75963</v>
      </c>
      <c r="I1133">
        <v>7</v>
      </c>
      <c r="J1133">
        <v>7</v>
      </c>
      <c r="K1133" t="s">
        <v>21</v>
      </c>
      <c r="L1133" t="s">
        <v>22</v>
      </c>
      <c r="M1133">
        <v>17</v>
      </c>
      <c r="N1133" t="s">
        <v>29</v>
      </c>
      <c r="O1133">
        <v>2</v>
      </c>
    </row>
    <row r="1134" spans="1:15" x14ac:dyDescent="0.3">
      <c r="A1134" t="s">
        <v>1172</v>
      </c>
      <c r="B1134">
        <v>31</v>
      </c>
      <c r="C1134" t="s">
        <v>16</v>
      </c>
      <c r="D1134" t="s">
        <v>40</v>
      </c>
      <c r="E1134" t="s">
        <v>18</v>
      </c>
      <c r="F1134" t="s">
        <v>38</v>
      </c>
      <c r="G1134" t="s">
        <v>20</v>
      </c>
      <c r="H1134">
        <v>67631</v>
      </c>
      <c r="I1134">
        <v>3</v>
      </c>
      <c r="J1134">
        <v>1</v>
      </c>
      <c r="K1134" t="s">
        <v>21</v>
      </c>
      <c r="L1134" t="s">
        <v>47</v>
      </c>
      <c r="M1134">
        <v>73</v>
      </c>
      <c r="N1134" t="s">
        <v>21</v>
      </c>
      <c r="O1134">
        <v>2</v>
      </c>
    </row>
    <row r="1135" spans="1:15" x14ac:dyDescent="0.3">
      <c r="A1135" t="s">
        <v>1173</v>
      </c>
      <c r="B1135">
        <v>26</v>
      </c>
      <c r="C1135" t="s">
        <v>24</v>
      </c>
      <c r="D1135" t="s">
        <v>35</v>
      </c>
      <c r="E1135" t="s">
        <v>26</v>
      </c>
      <c r="F1135" t="s">
        <v>36</v>
      </c>
      <c r="G1135" t="s">
        <v>28</v>
      </c>
      <c r="H1135">
        <v>69316</v>
      </c>
      <c r="I1135">
        <v>3</v>
      </c>
      <c r="J1135">
        <v>3</v>
      </c>
      <c r="K1135" t="s">
        <v>29</v>
      </c>
      <c r="L1135" t="s">
        <v>30</v>
      </c>
      <c r="M1135">
        <v>45</v>
      </c>
      <c r="N1135" t="s">
        <v>29</v>
      </c>
      <c r="O1135">
        <v>3</v>
      </c>
    </row>
    <row r="1136" spans="1:15" x14ac:dyDescent="0.3">
      <c r="A1136" t="s">
        <v>1174</v>
      </c>
      <c r="B1136">
        <v>38</v>
      </c>
      <c r="C1136" t="s">
        <v>24</v>
      </c>
      <c r="D1136" t="s">
        <v>17</v>
      </c>
      <c r="E1136" t="s">
        <v>18</v>
      </c>
      <c r="F1136" t="s">
        <v>19</v>
      </c>
      <c r="G1136" t="s">
        <v>28</v>
      </c>
      <c r="H1136">
        <v>79342</v>
      </c>
      <c r="I1136">
        <v>4</v>
      </c>
      <c r="J1136">
        <v>9</v>
      </c>
      <c r="K1136" t="s">
        <v>21</v>
      </c>
      <c r="L1136" t="s">
        <v>22</v>
      </c>
      <c r="M1136">
        <v>81</v>
      </c>
      <c r="N1136" t="s">
        <v>21</v>
      </c>
      <c r="O1136">
        <v>1</v>
      </c>
    </row>
    <row r="1137" spans="1:15" x14ac:dyDescent="0.3">
      <c r="A1137" t="s">
        <v>1175</v>
      </c>
      <c r="B1137">
        <v>41</v>
      </c>
      <c r="C1137" t="s">
        <v>16</v>
      </c>
      <c r="D1137" t="s">
        <v>44</v>
      </c>
      <c r="E1137" t="s">
        <v>26</v>
      </c>
      <c r="F1137" t="s">
        <v>27</v>
      </c>
      <c r="G1137" t="s">
        <v>28</v>
      </c>
      <c r="H1137">
        <v>35504</v>
      </c>
      <c r="I1137">
        <v>0</v>
      </c>
      <c r="J1137">
        <v>0</v>
      </c>
      <c r="K1137" t="s">
        <v>21</v>
      </c>
      <c r="L1137" t="s">
        <v>47</v>
      </c>
      <c r="M1137">
        <v>5</v>
      </c>
      <c r="N1137" t="s">
        <v>29</v>
      </c>
      <c r="O1137">
        <v>5</v>
      </c>
    </row>
    <row r="1138" spans="1:15" x14ac:dyDescent="0.3">
      <c r="A1138" t="s">
        <v>1176</v>
      </c>
      <c r="B1138">
        <v>56</v>
      </c>
      <c r="C1138" t="s">
        <v>16</v>
      </c>
      <c r="D1138" t="s">
        <v>40</v>
      </c>
      <c r="E1138" t="s">
        <v>50</v>
      </c>
      <c r="F1138" t="s">
        <v>19</v>
      </c>
      <c r="G1138" t="s">
        <v>20</v>
      </c>
      <c r="H1138">
        <v>88593</v>
      </c>
      <c r="I1138">
        <v>16</v>
      </c>
      <c r="J1138">
        <v>3</v>
      </c>
      <c r="K1138" t="s">
        <v>29</v>
      </c>
      <c r="L1138" t="s">
        <v>22</v>
      </c>
      <c r="M1138">
        <v>93</v>
      </c>
      <c r="N1138" t="s">
        <v>29</v>
      </c>
      <c r="O1138">
        <v>5</v>
      </c>
    </row>
    <row r="1139" spans="1:15" x14ac:dyDescent="0.3">
      <c r="A1139" t="s">
        <v>1177</v>
      </c>
      <c r="B1139">
        <v>58</v>
      </c>
      <c r="C1139" t="s">
        <v>16</v>
      </c>
      <c r="D1139" t="s">
        <v>17</v>
      </c>
      <c r="E1139" t="s">
        <v>26</v>
      </c>
      <c r="F1139" t="s">
        <v>19</v>
      </c>
      <c r="G1139" t="s">
        <v>20</v>
      </c>
      <c r="H1139">
        <v>46660</v>
      </c>
      <c r="I1139">
        <v>1</v>
      </c>
      <c r="J1139">
        <v>3</v>
      </c>
      <c r="K1139" t="s">
        <v>29</v>
      </c>
      <c r="L1139" t="s">
        <v>45</v>
      </c>
      <c r="M1139">
        <v>51</v>
      </c>
      <c r="N1139" t="s">
        <v>29</v>
      </c>
      <c r="O1139">
        <v>4</v>
      </c>
    </row>
    <row r="1140" spans="1:15" x14ac:dyDescent="0.3">
      <c r="A1140" t="s">
        <v>1178</v>
      </c>
      <c r="B1140">
        <v>54</v>
      </c>
      <c r="C1140" t="s">
        <v>24</v>
      </c>
      <c r="D1140" t="s">
        <v>25</v>
      </c>
      <c r="E1140" t="s">
        <v>50</v>
      </c>
      <c r="F1140" t="s">
        <v>27</v>
      </c>
      <c r="G1140" t="s">
        <v>28</v>
      </c>
      <c r="H1140">
        <v>57196</v>
      </c>
      <c r="I1140">
        <v>7</v>
      </c>
      <c r="J1140">
        <v>9</v>
      </c>
      <c r="K1140" t="s">
        <v>29</v>
      </c>
      <c r="L1140" t="s">
        <v>22</v>
      </c>
      <c r="M1140">
        <v>8</v>
      </c>
      <c r="N1140" t="s">
        <v>29</v>
      </c>
      <c r="O1140">
        <v>3</v>
      </c>
    </row>
    <row r="1141" spans="1:15" x14ac:dyDescent="0.3">
      <c r="A1141" t="s">
        <v>1179</v>
      </c>
      <c r="B1141">
        <v>37</v>
      </c>
      <c r="C1141" t="s">
        <v>16</v>
      </c>
      <c r="D1141" t="s">
        <v>40</v>
      </c>
      <c r="E1141" t="s">
        <v>50</v>
      </c>
      <c r="F1141" t="s">
        <v>27</v>
      </c>
      <c r="G1141" t="s">
        <v>20</v>
      </c>
      <c r="H1141">
        <v>85938</v>
      </c>
      <c r="I1141">
        <v>6</v>
      </c>
      <c r="J1141">
        <v>8</v>
      </c>
      <c r="K1141" t="s">
        <v>21</v>
      </c>
      <c r="L1141" t="s">
        <v>47</v>
      </c>
      <c r="M1141">
        <v>67</v>
      </c>
      <c r="N1141" t="s">
        <v>29</v>
      </c>
      <c r="O1141">
        <v>5</v>
      </c>
    </row>
    <row r="1142" spans="1:15" x14ac:dyDescent="0.3">
      <c r="A1142" t="s">
        <v>1180</v>
      </c>
      <c r="B1142">
        <v>57</v>
      </c>
      <c r="C1142" t="s">
        <v>16</v>
      </c>
      <c r="D1142" t="s">
        <v>17</v>
      </c>
      <c r="E1142" t="s">
        <v>26</v>
      </c>
      <c r="F1142" t="s">
        <v>36</v>
      </c>
      <c r="G1142" t="s">
        <v>28</v>
      </c>
      <c r="H1142">
        <v>28605</v>
      </c>
      <c r="I1142">
        <v>14</v>
      </c>
      <c r="J1142">
        <v>2</v>
      </c>
      <c r="K1142" t="s">
        <v>21</v>
      </c>
      <c r="L1142" t="s">
        <v>30</v>
      </c>
      <c r="M1142">
        <v>56</v>
      </c>
      <c r="N1142" t="s">
        <v>21</v>
      </c>
      <c r="O1142">
        <v>4</v>
      </c>
    </row>
    <row r="1143" spans="1:15" x14ac:dyDescent="0.3">
      <c r="A1143" t="s">
        <v>1181</v>
      </c>
      <c r="B1143">
        <v>45</v>
      </c>
      <c r="C1143" t="s">
        <v>24</v>
      </c>
      <c r="D1143" t="s">
        <v>17</v>
      </c>
      <c r="E1143" t="s">
        <v>33</v>
      </c>
      <c r="F1143" t="s">
        <v>38</v>
      </c>
      <c r="G1143" t="s">
        <v>20</v>
      </c>
      <c r="H1143">
        <v>77388</v>
      </c>
      <c r="I1143">
        <v>4</v>
      </c>
      <c r="J1143">
        <v>1</v>
      </c>
      <c r="K1143" t="s">
        <v>29</v>
      </c>
      <c r="L1143" t="s">
        <v>22</v>
      </c>
      <c r="M1143">
        <v>14</v>
      </c>
      <c r="N1143" t="s">
        <v>29</v>
      </c>
      <c r="O1143">
        <v>5</v>
      </c>
    </row>
    <row r="1144" spans="1:15" x14ac:dyDescent="0.3">
      <c r="A1144" t="s">
        <v>1182</v>
      </c>
      <c r="B1144">
        <v>58</v>
      </c>
      <c r="C1144" t="s">
        <v>16</v>
      </c>
      <c r="D1144" t="s">
        <v>44</v>
      </c>
      <c r="E1144" t="s">
        <v>41</v>
      </c>
      <c r="F1144" t="s">
        <v>38</v>
      </c>
      <c r="G1144" t="s">
        <v>28</v>
      </c>
      <c r="H1144">
        <v>101297</v>
      </c>
      <c r="I1144">
        <v>1</v>
      </c>
      <c r="J1144">
        <v>8</v>
      </c>
      <c r="K1144" t="s">
        <v>21</v>
      </c>
      <c r="L1144" t="s">
        <v>22</v>
      </c>
      <c r="M1144">
        <v>32</v>
      </c>
      <c r="N1144" t="s">
        <v>21</v>
      </c>
      <c r="O1144">
        <v>4</v>
      </c>
    </row>
    <row r="1145" spans="1:15" x14ac:dyDescent="0.3">
      <c r="A1145" t="s">
        <v>1183</v>
      </c>
      <c r="B1145">
        <v>32</v>
      </c>
      <c r="C1145" t="s">
        <v>24</v>
      </c>
      <c r="D1145" t="s">
        <v>44</v>
      </c>
      <c r="E1145" t="s">
        <v>18</v>
      </c>
      <c r="F1145" t="s">
        <v>19</v>
      </c>
      <c r="G1145" t="s">
        <v>28</v>
      </c>
      <c r="H1145">
        <v>75501</v>
      </c>
      <c r="I1145">
        <v>6</v>
      </c>
      <c r="J1145">
        <v>8</v>
      </c>
      <c r="K1145" t="s">
        <v>29</v>
      </c>
      <c r="L1145" t="s">
        <v>47</v>
      </c>
      <c r="M1145">
        <v>10</v>
      </c>
      <c r="N1145" t="s">
        <v>29</v>
      </c>
      <c r="O1145">
        <v>2</v>
      </c>
    </row>
    <row r="1146" spans="1:15" x14ac:dyDescent="0.3">
      <c r="A1146" t="s">
        <v>1184</v>
      </c>
      <c r="B1146">
        <v>43</v>
      </c>
      <c r="C1146" t="s">
        <v>16</v>
      </c>
      <c r="D1146" t="s">
        <v>25</v>
      </c>
      <c r="E1146" t="s">
        <v>41</v>
      </c>
      <c r="F1146" t="s">
        <v>27</v>
      </c>
      <c r="G1146" t="s">
        <v>28</v>
      </c>
      <c r="H1146">
        <v>73309</v>
      </c>
      <c r="I1146">
        <v>7</v>
      </c>
      <c r="J1146">
        <v>0</v>
      </c>
      <c r="K1146" t="s">
        <v>21</v>
      </c>
      <c r="L1146" t="s">
        <v>30</v>
      </c>
      <c r="M1146">
        <v>31</v>
      </c>
      <c r="N1146" t="s">
        <v>21</v>
      </c>
      <c r="O1146">
        <v>2</v>
      </c>
    </row>
    <row r="1147" spans="1:15" x14ac:dyDescent="0.3">
      <c r="A1147" t="s">
        <v>1185</v>
      </c>
      <c r="B1147">
        <v>42</v>
      </c>
      <c r="C1147" t="s">
        <v>24</v>
      </c>
      <c r="D1147" t="s">
        <v>17</v>
      </c>
      <c r="E1147" t="s">
        <v>18</v>
      </c>
      <c r="F1147" t="s">
        <v>36</v>
      </c>
      <c r="G1147" t="s">
        <v>20</v>
      </c>
      <c r="H1147">
        <v>47043</v>
      </c>
      <c r="I1147">
        <v>6</v>
      </c>
      <c r="J1147">
        <v>5</v>
      </c>
      <c r="K1147" t="s">
        <v>29</v>
      </c>
      <c r="L1147" t="s">
        <v>30</v>
      </c>
      <c r="M1147">
        <v>16</v>
      </c>
      <c r="N1147" t="s">
        <v>21</v>
      </c>
      <c r="O1147">
        <v>5</v>
      </c>
    </row>
    <row r="1148" spans="1:15" x14ac:dyDescent="0.3">
      <c r="A1148" t="s">
        <v>1186</v>
      </c>
      <c r="B1148">
        <v>41</v>
      </c>
      <c r="C1148" t="s">
        <v>16</v>
      </c>
      <c r="D1148" t="s">
        <v>32</v>
      </c>
      <c r="E1148" t="s">
        <v>18</v>
      </c>
      <c r="F1148" t="s">
        <v>36</v>
      </c>
      <c r="G1148" t="s">
        <v>28</v>
      </c>
      <c r="H1148">
        <v>53635</v>
      </c>
      <c r="I1148">
        <v>6</v>
      </c>
      <c r="J1148">
        <v>9</v>
      </c>
      <c r="K1148" t="s">
        <v>21</v>
      </c>
      <c r="L1148" t="s">
        <v>45</v>
      </c>
      <c r="M1148">
        <v>66</v>
      </c>
      <c r="N1148" t="s">
        <v>21</v>
      </c>
      <c r="O1148">
        <v>3</v>
      </c>
    </row>
    <row r="1149" spans="1:15" x14ac:dyDescent="0.3">
      <c r="A1149" t="s">
        <v>1187</v>
      </c>
      <c r="B1149">
        <v>47</v>
      </c>
      <c r="C1149" t="s">
        <v>16</v>
      </c>
      <c r="D1149" t="s">
        <v>17</v>
      </c>
      <c r="E1149" t="s">
        <v>50</v>
      </c>
      <c r="F1149" t="s">
        <v>36</v>
      </c>
      <c r="G1149" t="s">
        <v>20</v>
      </c>
      <c r="H1149">
        <v>99315</v>
      </c>
      <c r="I1149">
        <v>13</v>
      </c>
      <c r="J1149">
        <v>7</v>
      </c>
      <c r="K1149" t="s">
        <v>29</v>
      </c>
      <c r="L1149" t="s">
        <v>45</v>
      </c>
      <c r="M1149">
        <v>56</v>
      </c>
      <c r="N1149" t="s">
        <v>29</v>
      </c>
      <c r="O1149">
        <v>1</v>
      </c>
    </row>
    <row r="1150" spans="1:15" x14ac:dyDescent="0.3">
      <c r="A1150" t="s">
        <v>1188</v>
      </c>
      <c r="B1150">
        <v>51</v>
      </c>
      <c r="C1150" t="s">
        <v>24</v>
      </c>
      <c r="D1150" t="s">
        <v>44</v>
      </c>
      <c r="E1150" t="s">
        <v>18</v>
      </c>
      <c r="F1150" t="s">
        <v>36</v>
      </c>
      <c r="G1150" t="s">
        <v>20</v>
      </c>
      <c r="H1150">
        <v>100691</v>
      </c>
      <c r="I1150">
        <v>17</v>
      </c>
      <c r="J1150">
        <v>2</v>
      </c>
      <c r="K1150" t="s">
        <v>21</v>
      </c>
      <c r="L1150" t="s">
        <v>47</v>
      </c>
      <c r="M1150">
        <v>52</v>
      </c>
      <c r="N1150" t="s">
        <v>21</v>
      </c>
      <c r="O1150">
        <v>3</v>
      </c>
    </row>
    <row r="1151" spans="1:15" x14ac:dyDescent="0.3">
      <c r="A1151" t="s">
        <v>1189</v>
      </c>
      <c r="B1151">
        <v>26</v>
      </c>
      <c r="C1151" t="s">
        <v>24</v>
      </c>
      <c r="D1151" t="s">
        <v>32</v>
      </c>
      <c r="E1151" t="s">
        <v>18</v>
      </c>
      <c r="F1151" t="s">
        <v>36</v>
      </c>
      <c r="G1151" t="s">
        <v>20</v>
      </c>
      <c r="H1151">
        <v>53132</v>
      </c>
      <c r="I1151">
        <v>5</v>
      </c>
      <c r="J1151">
        <v>8</v>
      </c>
      <c r="K1151" t="s">
        <v>21</v>
      </c>
      <c r="L1151" t="s">
        <v>30</v>
      </c>
      <c r="M1151">
        <v>71</v>
      </c>
      <c r="N1151" t="s">
        <v>29</v>
      </c>
      <c r="O1151">
        <v>3</v>
      </c>
    </row>
    <row r="1152" spans="1:15" x14ac:dyDescent="0.3">
      <c r="A1152" t="s">
        <v>1190</v>
      </c>
      <c r="B1152">
        <v>47</v>
      </c>
      <c r="C1152" t="s">
        <v>16</v>
      </c>
      <c r="D1152" t="s">
        <v>40</v>
      </c>
      <c r="E1152" t="s">
        <v>26</v>
      </c>
      <c r="F1152" t="s">
        <v>38</v>
      </c>
      <c r="G1152" t="s">
        <v>20</v>
      </c>
      <c r="H1152">
        <v>109387</v>
      </c>
      <c r="I1152">
        <v>3</v>
      </c>
      <c r="J1152">
        <v>1</v>
      </c>
      <c r="K1152" t="s">
        <v>29</v>
      </c>
      <c r="L1152" t="s">
        <v>30</v>
      </c>
      <c r="M1152">
        <v>50</v>
      </c>
      <c r="N1152" t="s">
        <v>29</v>
      </c>
      <c r="O1152">
        <v>1</v>
      </c>
    </row>
    <row r="1153" spans="1:15" x14ac:dyDescent="0.3">
      <c r="A1153" t="s">
        <v>1191</v>
      </c>
      <c r="B1153">
        <v>54</v>
      </c>
      <c r="C1153" t="s">
        <v>24</v>
      </c>
      <c r="D1153" t="s">
        <v>40</v>
      </c>
      <c r="E1153" t="s">
        <v>41</v>
      </c>
      <c r="F1153" t="s">
        <v>38</v>
      </c>
      <c r="G1153" t="s">
        <v>20</v>
      </c>
      <c r="H1153">
        <v>35366</v>
      </c>
      <c r="I1153">
        <v>9</v>
      </c>
      <c r="J1153">
        <v>5</v>
      </c>
      <c r="K1153" t="s">
        <v>21</v>
      </c>
      <c r="L1153" t="s">
        <v>45</v>
      </c>
      <c r="M1153">
        <v>78</v>
      </c>
      <c r="N1153" t="s">
        <v>21</v>
      </c>
      <c r="O1153">
        <v>2</v>
      </c>
    </row>
    <row r="1154" spans="1:15" x14ac:dyDescent="0.3">
      <c r="A1154" t="s">
        <v>1192</v>
      </c>
      <c r="B1154">
        <v>32</v>
      </c>
      <c r="C1154" t="s">
        <v>24</v>
      </c>
      <c r="D1154" t="s">
        <v>35</v>
      </c>
      <c r="E1154" t="s">
        <v>26</v>
      </c>
      <c r="F1154" t="s">
        <v>38</v>
      </c>
      <c r="G1154" t="s">
        <v>20</v>
      </c>
      <c r="H1154">
        <v>113944</v>
      </c>
      <c r="I1154">
        <v>17</v>
      </c>
      <c r="J1154">
        <v>0</v>
      </c>
      <c r="K1154" t="s">
        <v>21</v>
      </c>
      <c r="L1154" t="s">
        <v>45</v>
      </c>
      <c r="M1154">
        <v>99</v>
      </c>
      <c r="N1154" t="s">
        <v>21</v>
      </c>
      <c r="O1154">
        <v>2</v>
      </c>
    </row>
    <row r="1155" spans="1:15" x14ac:dyDescent="0.3">
      <c r="A1155" t="s">
        <v>1193</v>
      </c>
      <c r="B1155">
        <v>27</v>
      </c>
      <c r="C1155" t="s">
        <v>24</v>
      </c>
      <c r="D1155" t="s">
        <v>44</v>
      </c>
      <c r="E1155" t="s">
        <v>18</v>
      </c>
      <c r="F1155" t="s">
        <v>27</v>
      </c>
      <c r="G1155" t="s">
        <v>20</v>
      </c>
      <c r="H1155">
        <v>92107</v>
      </c>
      <c r="I1155">
        <v>11</v>
      </c>
      <c r="J1155">
        <v>6</v>
      </c>
      <c r="K1155" t="s">
        <v>29</v>
      </c>
      <c r="L1155" t="s">
        <v>47</v>
      </c>
      <c r="M1155">
        <v>19</v>
      </c>
      <c r="N1155" t="s">
        <v>29</v>
      </c>
      <c r="O1155">
        <v>1</v>
      </c>
    </row>
    <row r="1156" spans="1:15" x14ac:dyDescent="0.3">
      <c r="A1156" t="s">
        <v>1194</v>
      </c>
      <c r="B1156">
        <v>30</v>
      </c>
      <c r="C1156" t="s">
        <v>24</v>
      </c>
      <c r="D1156" t="s">
        <v>35</v>
      </c>
      <c r="E1156" t="s">
        <v>50</v>
      </c>
      <c r="F1156" t="s">
        <v>19</v>
      </c>
      <c r="G1156" t="s">
        <v>28</v>
      </c>
      <c r="H1156">
        <v>82580</v>
      </c>
      <c r="I1156">
        <v>15</v>
      </c>
      <c r="J1156">
        <v>2</v>
      </c>
      <c r="K1156" t="s">
        <v>21</v>
      </c>
      <c r="L1156" t="s">
        <v>30</v>
      </c>
      <c r="M1156">
        <v>75</v>
      </c>
      <c r="N1156" t="s">
        <v>29</v>
      </c>
      <c r="O1156">
        <v>4</v>
      </c>
    </row>
    <row r="1157" spans="1:15" x14ac:dyDescent="0.3">
      <c r="A1157" t="s">
        <v>1195</v>
      </c>
      <c r="B1157">
        <v>37</v>
      </c>
      <c r="C1157" t="s">
        <v>16</v>
      </c>
      <c r="D1157" t="s">
        <v>32</v>
      </c>
      <c r="E1157" t="s">
        <v>26</v>
      </c>
      <c r="F1157" t="s">
        <v>36</v>
      </c>
      <c r="G1157" t="s">
        <v>28</v>
      </c>
      <c r="H1157">
        <v>77889</v>
      </c>
      <c r="I1157">
        <v>6</v>
      </c>
      <c r="J1157">
        <v>6</v>
      </c>
      <c r="K1157" t="s">
        <v>21</v>
      </c>
      <c r="L1157" t="s">
        <v>22</v>
      </c>
      <c r="M1157">
        <v>40</v>
      </c>
      <c r="N1157" t="s">
        <v>29</v>
      </c>
      <c r="O1157">
        <v>3</v>
      </c>
    </row>
    <row r="1158" spans="1:15" x14ac:dyDescent="0.3">
      <c r="A1158" t="s">
        <v>1196</v>
      </c>
      <c r="B1158">
        <v>46</v>
      </c>
      <c r="C1158" t="s">
        <v>16</v>
      </c>
      <c r="D1158" t="s">
        <v>44</v>
      </c>
      <c r="E1158" t="s">
        <v>26</v>
      </c>
      <c r="F1158" t="s">
        <v>27</v>
      </c>
      <c r="G1158" t="s">
        <v>28</v>
      </c>
      <c r="H1158">
        <v>99553</v>
      </c>
      <c r="I1158">
        <v>5</v>
      </c>
      <c r="J1158">
        <v>3</v>
      </c>
      <c r="K1158" t="s">
        <v>21</v>
      </c>
      <c r="L1158" t="s">
        <v>45</v>
      </c>
      <c r="M1158">
        <v>18</v>
      </c>
      <c r="N1158" t="s">
        <v>29</v>
      </c>
      <c r="O1158">
        <v>5</v>
      </c>
    </row>
    <row r="1159" spans="1:15" x14ac:dyDescent="0.3">
      <c r="A1159" t="s">
        <v>1197</v>
      </c>
      <c r="B1159">
        <v>41</v>
      </c>
      <c r="C1159" t="s">
        <v>24</v>
      </c>
      <c r="D1159" t="s">
        <v>25</v>
      </c>
      <c r="E1159" t="s">
        <v>33</v>
      </c>
      <c r="F1159" t="s">
        <v>36</v>
      </c>
      <c r="G1159" t="s">
        <v>20</v>
      </c>
      <c r="H1159">
        <v>59236</v>
      </c>
      <c r="I1159">
        <v>4</v>
      </c>
      <c r="J1159">
        <v>8</v>
      </c>
      <c r="K1159" t="s">
        <v>29</v>
      </c>
      <c r="L1159" t="s">
        <v>47</v>
      </c>
      <c r="M1159">
        <v>82</v>
      </c>
      <c r="N1159" t="s">
        <v>29</v>
      </c>
      <c r="O1159">
        <v>2</v>
      </c>
    </row>
    <row r="1160" spans="1:15" x14ac:dyDescent="0.3">
      <c r="A1160" t="s">
        <v>1198</v>
      </c>
      <c r="B1160">
        <v>48</v>
      </c>
      <c r="C1160" t="s">
        <v>24</v>
      </c>
      <c r="D1160" t="s">
        <v>17</v>
      </c>
      <c r="E1160" t="s">
        <v>18</v>
      </c>
      <c r="F1160" t="s">
        <v>38</v>
      </c>
      <c r="G1160" t="s">
        <v>20</v>
      </c>
      <c r="H1160">
        <v>24150</v>
      </c>
      <c r="I1160">
        <v>2</v>
      </c>
      <c r="J1160">
        <v>4</v>
      </c>
      <c r="K1160" t="s">
        <v>29</v>
      </c>
      <c r="L1160" t="s">
        <v>30</v>
      </c>
      <c r="M1160">
        <v>7</v>
      </c>
      <c r="N1160" t="s">
        <v>29</v>
      </c>
      <c r="O1160">
        <v>5</v>
      </c>
    </row>
    <row r="1161" spans="1:15" x14ac:dyDescent="0.3">
      <c r="A1161" t="s">
        <v>1199</v>
      </c>
      <c r="B1161">
        <v>22</v>
      </c>
      <c r="C1161" t="s">
        <v>24</v>
      </c>
      <c r="D1161" t="s">
        <v>25</v>
      </c>
      <c r="E1161" t="s">
        <v>50</v>
      </c>
      <c r="F1161" t="s">
        <v>27</v>
      </c>
      <c r="G1161" t="s">
        <v>20</v>
      </c>
      <c r="H1161">
        <v>39423</v>
      </c>
      <c r="I1161">
        <v>11</v>
      </c>
      <c r="J1161">
        <v>2</v>
      </c>
      <c r="K1161" t="s">
        <v>29</v>
      </c>
      <c r="L1161" t="s">
        <v>30</v>
      </c>
      <c r="M1161">
        <v>71</v>
      </c>
      <c r="N1161" t="s">
        <v>21</v>
      </c>
      <c r="O1161">
        <v>1</v>
      </c>
    </row>
    <row r="1162" spans="1:15" x14ac:dyDescent="0.3">
      <c r="A1162" t="s">
        <v>1200</v>
      </c>
      <c r="B1162">
        <v>21</v>
      </c>
      <c r="C1162" t="s">
        <v>24</v>
      </c>
      <c r="D1162" t="s">
        <v>32</v>
      </c>
      <c r="E1162" t="s">
        <v>26</v>
      </c>
      <c r="F1162" t="s">
        <v>38</v>
      </c>
      <c r="G1162" t="s">
        <v>20</v>
      </c>
      <c r="H1162">
        <v>24137</v>
      </c>
      <c r="I1162">
        <v>14</v>
      </c>
      <c r="J1162">
        <v>7</v>
      </c>
      <c r="K1162" t="s">
        <v>29</v>
      </c>
      <c r="L1162" t="s">
        <v>45</v>
      </c>
      <c r="M1162">
        <v>90</v>
      </c>
      <c r="N1162" t="s">
        <v>29</v>
      </c>
      <c r="O1162">
        <v>5</v>
      </c>
    </row>
    <row r="1163" spans="1:15" x14ac:dyDescent="0.3">
      <c r="A1163" t="s">
        <v>1201</v>
      </c>
      <c r="B1163">
        <v>56</v>
      </c>
      <c r="C1163" t="s">
        <v>16</v>
      </c>
      <c r="D1163" t="s">
        <v>44</v>
      </c>
      <c r="E1163" t="s">
        <v>26</v>
      </c>
      <c r="F1163" t="s">
        <v>36</v>
      </c>
      <c r="G1163" t="s">
        <v>28</v>
      </c>
      <c r="H1163">
        <v>49992</v>
      </c>
      <c r="I1163">
        <v>9</v>
      </c>
      <c r="J1163">
        <v>5</v>
      </c>
      <c r="K1163" t="s">
        <v>29</v>
      </c>
      <c r="L1163" t="s">
        <v>47</v>
      </c>
      <c r="M1163">
        <v>23</v>
      </c>
      <c r="N1163" t="s">
        <v>29</v>
      </c>
      <c r="O1163">
        <v>5</v>
      </c>
    </row>
    <row r="1164" spans="1:15" x14ac:dyDescent="0.3">
      <c r="A1164" t="s">
        <v>1202</v>
      </c>
      <c r="B1164">
        <v>46</v>
      </c>
      <c r="C1164" t="s">
        <v>16</v>
      </c>
      <c r="D1164" t="s">
        <v>32</v>
      </c>
      <c r="E1164" t="s">
        <v>50</v>
      </c>
      <c r="F1164" t="s">
        <v>36</v>
      </c>
      <c r="G1164" t="s">
        <v>20</v>
      </c>
      <c r="H1164">
        <v>114438</v>
      </c>
      <c r="I1164">
        <v>19</v>
      </c>
      <c r="J1164">
        <v>1</v>
      </c>
      <c r="K1164" t="s">
        <v>21</v>
      </c>
      <c r="L1164" t="s">
        <v>22</v>
      </c>
      <c r="M1164">
        <v>80</v>
      </c>
      <c r="N1164" t="s">
        <v>21</v>
      </c>
      <c r="O1164">
        <v>3</v>
      </c>
    </row>
    <row r="1165" spans="1:15" x14ac:dyDescent="0.3">
      <c r="A1165" t="s">
        <v>1203</v>
      </c>
      <c r="B1165">
        <v>49</v>
      </c>
      <c r="C1165" t="s">
        <v>24</v>
      </c>
      <c r="D1165" t="s">
        <v>17</v>
      </c>
      <c r="E1165" t="s">
        <v>18</v>
      </c>
      <c r="F1165" t="s">
        <v>19</v>
      </c>
      <c r="G1165" t="s">
        <v>28</v>
      </c>
      <c r="H1165">
        <v>64921</v>
      </c>
      <c r="I1165">
        <v>18</v>
      </c>
      <c r="J1165">
        <v>2</v>
      </c>
      <c r="K1165" t="s">
        <v>21</v>
      </c>
      <c r="L1165" t="s">
        <v>45</v>
      </c>
      <c r="M1165">
        <v>58</v>
      </c>
      <c r="N1165" t="s">
        <v>21</v>
      </c>
      <c r="O1165">
        <v>1</v>
      </c>
    </row>
    <row r="1166" spans="1:15" x14ac:dyDescent="0.3">
      <c r="A1166" t="s">
        <v>1204</v>
      </c>
      <c r="B1166">
        <v>41</v>
      </c>
      <c r="C1166" t="s">
        <v>24</v>
      </c>
      <c r="D1166" t="s">
        <v>40</v>
      </c>
      <c r="E1166" t="s">
        <v>33</v>
      </c>
      <c r="F1166" t="s">
        <v>36</v>
      </c>
      <c r="G1166" t="s">
        <v>20</v>
      </c>
      <c r="H1166">
        <v>99369</v>
      </c>
      <c r="I1166">
        <v>15</v>
      </c>
      <c r="J1166">
        <v>7</v>
      </c>
      <c r="K1166" t="s">
        <v>29</v>
      </c>
      <c r="L1166" t="s">
        <v>47</v>
      </c>
      <c r="M1166">
        <v>73</v>
      </c>
      <c r="N1166" t="s">
        <v>21</v>
      </c>
      <c r="O1166">
        <v>5</v>
      </c>
    </row>
    <row r="1167" spans="1:15" x14ac:dyDescent="0.3">
      <c r="A1167" t="s">
        <v>1205</v>
      </c>
      <c r="B1167">
        <v>31</v>
      </c>
      <c r="C1167" t="s">
        <v>24</v>
      </c>
      <c r="D1167" t="s">
        <v>40</v>
      </c>
      <c r="E1167" t="s">
        <v>26</v>
      </c>
      <c r="F1167" t="s">
        <v>38</v>
      </c>
      <c r="G1167" t="s">
        <v>28</v>
      </c>
      <c r="H1167">
        <v>86917</v>
      </c>
      <c r="I1167">
        <v>10</v>
      </c>
      <c r="J1167">
        <v>9</v>
      </c>
      <c r="K1167" t="s">
        <v>21</v>
      </c>
      <c r="L1167" t="s">
        <v>30</v>
      </c>
      <c r="M1167">
        <v>14</v>
      </c>
      <c r="N1167" t="s">
        <v>29</v>
      </c>
      <c r="O1167">
        <v>2</v>
      </c>
    </row>
    <row r="1168" spans="1:15" x14ac:dyDescent="0.3">
      <c r="A1168" t="s">
        <v>1206</v>
      </c>
      <c r="B1168">
        <v>31</v>
      </c>
      <c r="C1168" t="s">
        <v>16</v>
      </c>
      <c r="D1168" t="s">
        <v>32</v>
      </c>
      <c r="E1168" t="s">
        <v>33</v>
      </c>
      <c r="F1168" t="s">
        <v>36</v>
      </c>
      <c r="G1168" t="s">
        <v>20</v>
      </c>
      <c r="H1168">
        <v>93690</v>
      </c>
      <c r="I1168">
        <v>7</v>
      </c>
      <c r="J1168">
        <v>6</v>
      </c>
      <c r="K1168" t="s">
        <v>21</v>
      </c>
      <c r="L1168" t="s">
        <v>22</v>
      </c>
      <c r="M1168">
        <v>37</v>
      </c>
      <c r="N1168" t="s">
        <v>21</v>
      </c>
      <c r="O1168">
        <v>1</v>
      </c>
    </row>
    <row r="1169" spans="1:15" x14ac:dyDescent="0.3">
      <c r="A1169" t="s">
        <v>1207</v>
      </c>
      <c r="B1169">
        <v>56</v>
      </c>
      <c r="C1169" t="s">
        <v>24</v>
      </c>
      <c r="D1169" t="s">
        <v>35</v>
      </c>
      <c r="E1169" t="s">
        <v>41</v>
      </c>
      <c r="F1169" t="s">
        <v>19</v>
      </c>
      <c r="G1169" t="s">
        <v>28</v>
      </c>
      <c r="H1169">
        <v>54235</v>
      </c>
      <c r="I1169">
        <v>2</v>
      </c>
      <c r="J1169">
        <v>9</v>
      </c>
      <c r="K1169" t="s">
        <v>21</v>
      </c>
      <c r="L1169" t="s">
        <v>47</v>
      </c>
      <c r="M1169">
        <v>17</v>
      </c>
      <c r="N1169" t="s">
        <v>21</v>
      </c>
      <c r="O1169">
        <v>2</v>
      </c>
    </row>
    <row r="1170" spans="1:15" x14ac:dyDescent="0.3">
      <c r="A1170" t="s">
        <v>1208</v>
      </c>
      <c r="B1170">
        <v>59</v>
      </c>
      <c r="C1170" t="s">
        <v>16</v>
      </c>
      <c r="D1170" t="s">
        <v>44</v>
      </c>
      <c r="E1170" t="s">
        <v>18</v>
      </c>
      <c r="F1170" t="s">
        <v>19</v>
      </c>
      <c r="G1170" t="s">
        <v>20</v>
      </c>
      <c r="H1170">
        <v>98975</v>
      </c>
      <c r="I1170">
        <v>6</v>
      </c>
      <c r="J1170">
        <v>5</v>
      </c>
      <c r="K1170" t="s">
        <v>21</v>
      </c>
      <c r="L1170" t="s">
        <v>22</v>
      </c>
      <c r="M1170">
        <v>55</v>
      </c>
      <c r="N1170" t="s">
        <v>29</v>
      </c>
      <c r="O1170">
        <v>4</v>
      </c>
    </row>
    <row r="1171" spans="1:15" x14ac:dyDescent="0.3">
      <c r="A1171" t="s">
        <v>1209</v>
      </c>
      <c r="B1171">
        <v>55</v>
      </c>
      <c r="C1171" t="s">
        <v>24</v>
      </c>
      <c r="D1171" t="s">
        <v>44</v>
      </c>
      <c r="E1171" t="s">
        <v>41</v>
      </c>
      <c r="F1171" t="s">
        <v>38</v>
      </c>
      <c r="G1171" t="s">
        <v>28</v>
      </c>
      <c r="H1171">
        <v>39122</v>
      </c>
      <c r="I1171">
        <v>6</v>
      </c>
      <c r="J1171">
        <v>0</v>
      </c>
      <c r="K1171" t="s">
        <v>29</v>
      </c>
      <c r="L1171" t="s">
        <v>47</v>
      </c>
      <c r="M1171">
        <v>36</v>
      </c>
      <c r="N1171" t="s">
        <v>29</v>
      </c>
      <c r="O1171">
        <v>5</v>
      </c>
    </row>
    <row r="1172" spans="1:15" x14ac:dyDescent="0.3">
      <c r="A1172" t="s">
        <v>1210</v>
      </c>
      <c r="B1172">
        <v>54</v>
      </c>
      <c r="C1172" t="s">
        <v>16</v>
      </c>
      <c r="D1172" t="s">
        <v>40</v>
      </c>
      <c r="E1172" t="s">
        <v>41</v>
      </c>
      <c r="F1172" t="s">
        <v>27</v>
      </c>
      <c r="G1172" t="s">
        <v>20</v>
      </c>
      <c r="H1172">
        <v>43956</v>
      </c>
      <c r="I1172">
        <v>13</v>
      </c>
      <c r="J1172">
        <v>8</v>
      </c>
      <c r="K1172" t="s">
        <v>29</v>
      </c>
      <c r="L1172" t="s">
        <v>47</v>
      </c>
      <c r="M1172">
        <v>79</v>
      </c>
      <c r="N1172" t="s">
        <v>29</v>
      </c>
      <c r="O1172">
        <v>1</v>
      </c>
    </row>
    <row r="1173" spans="1:15" x14ac:dyDescent="0.3">
      <c r="A1173" t="s">
        <v>1211</v>
      </c>
      <c r="B1173">
        <v>44</v>
      </c>
      <c r="C1173" t="s">
        <v>24</v>
      </c>
      <c r="D1173" t="s">
        <v>25</v>
      </c>
      <c r="E1173" t="s">
        <v>41</v>
      </c>
      <c r="F1173" t="s">
        <v>36</v>
      </c>
      <c r="G1173" t="s">
        <v>28</v>
      </c>
      <c r="H1173">
        <v>83879</v>
      </c>
      <c r="I1173">
        <v>1</v>
      </c>
      <c r="J1173">
        <v>2</v>
      </c>
      <c r="K1173" t="s">
        <v>21</v>
      </c>
      <c r="L1173" t="s">
        <v>47</v>
      </c>
      <c r="M1173">
        <v>28</v>
      </c>
      <c r="N1173" t="s">
        <v>29</v>
      </c>
      <c r="O1173">
        <v>2</v>
      </c>
    </row>
    <row r="1174" spans="1:15" x14ac:dyDescent="0.3">
      <c r="A1174" t="s">
        <v>1212</v>
      </c>
      <c r="B1174">
        <v>42</v>
      </c>
      <c r="C1174" t="s">
        <v>16</v>
      </c>
      <c r="D1174" t="s">
        <v>17</v>
      </c>
      <c r="E1174" t="s">
        <v>18</v>
      </c>
      <c r="F1174" t="s">
        <v>19</v>
      </c>
      <c r="G1174" t="s">
        <v>28</v>
      </c>
      <c r="H1174">
        <v>78560</v>
      </c>
      <c r="I1174">
        <v>9</v>
      </c>
      <c r="J1174">
        <v>4</v>
      </c>
      <c r="K1174" t="s">
        <v>21</v>
      </c>
      <c r="L1174" t="s">
        <v>47</v>
      </c>
      <c r="M1174">
        <v>39</v>
      </c>
      <c r="N1174" t="s">
        <v>21</v>
      </c>
      <c r="O1174">
        <v>5</v>
      </c>
    </row>
    <row r="1175" spans="1:15" x14ac:dyDescent="0.3">
      <c r="A1175" t="s">
        <v>1213</v>
      </c>
      <c r="B1175">
        <v>25</v>
      </c>
      <c r="C1175" t="s">
        <v>24</v>
      </c>
      <c r="D1175" t="s">
        <v>25</v>
      </c>
      <c r="E1175" t="s">
        <v>18</v>
      </c>
      <c r="F1175" t="s">
        <v>36</v>
      </c>
      <c r="G1175" t="s">
        <v>20</v>
      </c>
      <c r="H1175">
        <v>102800</v>
      </c>
      <c r="I1175">
        <v>18</v>
      </c>
      <c r="J1175">
        <v>6</v>
      </c>
      <c r="K1175" t="s">
        <v>29</v>
      </c>
      <c r="L1175" t="s">
        <v>22</v>
      </c>
      <c r="M1175">
        <v>87</v>
      </c>
      <c r="N1175" t="s">
        <v>29</v>
      </c>
      <c r="O1175">
        <v>3</v>
      </c>
    </row>
    <row r="1176" spans="1:15" x14ac:dyDescent="0.3">
      <c r="A1176" t="s">
        <v>1214</v>
      </c>
      <c r="B1176">
        <v>53</v>
      </c>
      <c r="C1176" t="s">
        <v>24</v>
      </c>
      <c r="D1176" t="s">
        <v>25</v>
      </c>
      <c r="E1176" t="s">
        <v>50</v>
      </c>
      <c r="F1176" t="s">
        <v>36</v>
      </c>
      <c r="G1176" t="s">
        <v>28</v>
      </c>
      <c r="H1176">
        <v>88685</v>
      </c>
      <c r="I1176">
        <v>8</v>
      </c>
      <c r="J1176">
        <v>6</v>
      </c>
      <c r="K1176" t="s">
        <v>21</v>
      </c>
      <c r="L1176" t="s">
        <v>45</v>
      </c>
      <c r="M1176">
        <v>74</v>
      </c>
      <c r="N1176" t="s">
        <v>21</v>
      </c>
      <c r="O1176">
        <v>2</v>
      </c>
    </row>
    <row r="1177" spans="1:15" x14ac:dyDescent="0.3">
      <c r="A1177" t="s">
        <v>1215</v>
      </c>
      <c r="B1177">
        <v>56</v>
      </c>
      <c r="C1177" t="s">
        <v>24</v>
      </c>
      <c r="D1177" t="s">
        <v>32</v>
      </c>
      <c r="E1177" t="s">
        <v>33</v>
      </c>
      <c r="F1177" t="s">
        <v>27</v>
      </c>
      <c r="G1177" t="s">
        <v>20</v>
      </c>
      <c r="H1177">
        <v>44660</v>
      </c>
      <c r="I1177">
        <v>15</v>
      </c>
      <c r="J1177">
        <v>2</v>
      </c>
      <c r="K1177" t="s">
        <v>21</v>
      </c>
      <c r="L1177" t="s">
        <v>22</v>
      </c>
      <c r="M1177">
        <v>44</v>
      </c>
      <c r="N1177" t="s">
        <v>29</v>
      </c>
      <c r="O1177">
        <v>2</v>
      </c>
    </row>
    <row r="1178" spans="1:15" x14ac:dyDescent="0.3">
      <c r="A1178" t="s">
        <v>1216</v>
      </c>
      <c r="B1178">
        <v>40</v>
      </c>
      <c r="C1178" t="s">
        <v>16</v>
      </c>
      <c r="D1178" t="s">
        <v>40</v>
      </c>
      <c r="E1178" t="s">
        <v>33</v>
      </c>
      <c r="F1178" t="s">
        <v>19</v>
      </c>
      <c r="G1178" t="s">
        <v>20</v>
      </c>
      <c r="H1178">
        <v>106064</v>
      </c>
      <c r="I1178">
        <v>18</v>
      </c>
      <c r="J1178">
        <v>3</v>
      </c>
      <c r="K1178" t="s">
        <v>21</v>
      </c>
      <c r="L1178" t="s">
        <v>47</v>
      </c>
      <c r="M1178">
        <v>58</v>
      </c>
      <c r="N1178" t="s">
        <v>21</v>
      </c>
      <c r="O1178">
        <v>4</v>
      </c>
    </row>
    <row r="1179" spans="1:15" x14ac:dyDescent="0.3">
      <c r="A1179" t="s">
        <v>1217</v>
      </c>
      <c r="B1179">
        <v>39</v>
      </c>
      <c r="C1179" t="s">
        <v>24</v>
      </c>
      <c r="D1179" t="s">
        <v>40</v>
      </c>
      <c r="E1179" t="s">
        <v>50</v>
      </c>
      <c r="F1179" t="s">
        <v>36</v>
      </c>
      <c r="G1179" t="s">
        <v>20</v>
      </c>
      <c r="H1179">
        <v>21168</v>
      </c>
      <c r="I1179">
        <v>17</v>
      </c>
      <c r="J1179">
        <v>9</v>
      </c>
      <c r="K1179" t="s">
        <v>29</v>
      </c>
      <c r="L1179" t="s">
        <v>22</v>
      </c>
      <c r="M1179">
        <v>48</v>
      </c>
      <c r="N1179" t="s">
        <v>29</v>
      </c>
      <c r="O1179">
        <v>3</v>
      </c>
    </row>
    <row r="1180" spans="1:15" x14ac:dyDescent="0.3">
      <c r="A1180" t="s">
        <v>1218</v>
      </c>
      <c r="B1180">
        <v>55</v>
      </c>
      <c r="C1180" t="s">
        <v>16</v>
      </c>
      <c r="D1180" t="s">
        <v>40</v>
      </c>
      <c r="E1180" t="s">
        <v>50</v>
      </c>
      <c r="F1180" t="s">
        <v>19</v>
      </c>
      <c r="G1180" t="s">
        <v>28</v>
      </c>
      <c r="H1180">
        <v>65124</v>
      </c>
      <c r="I1180">
        <v>8</v>
      </c>
      <c r="J1180">
        <v>6</v>
      </c>
      <c r="K1180" t="s">
        <v>29</v>
      </c>
      <c r="L1180" t="s">
        <v>22</v>
      </c>
      <c r="M1180">
        <v>66</v>
      </c>
      <c r="N1180" t="s">
        <v>29</v>
      </c>
      <c r="O1180">
        <v>4</v>
      </c>
    </row>
    <row r="1181" spans="1:15" x14ac:dyDescent="0.3">
      <c r="A1181" t="s">
        <v>1219</v>
      </c>
      <c r="B1181">
        <v>37</v>
      </c>
      <c r="C1181" t="s">
        <v>16</v>
      </c>
      <c r="D1181" t="s">
        <v>32</v>
      </c>
      <c r="E1181" t="s">
        <v>41</v>
      </c>
      <c r="F1181" t="s">
        <v>38</v>
      </c>
      <c r="G1181" t="s">
        <v>28</v>
      </c>
      <c r="H1181">
        <v>55897</v>
      </c>
      <c r="I1181">
        <v>15</v>
      </c>
      <c r="J1181">
        <v>7</v>
      </c>
      <c r="K1181" t="s">
        <v>21</v>
      </c>
      <c r="L1181" t="s">
        <v>22</v>
      </c>
      <c r="M1181">
        <v>72</v>
      </c>
      <c r="N1181" t="s">
        <v>29</v>
      </c>
      <c r="O1181">
        <v>3</v>
      </c>
    </row>
    <row r="1182" spans="1:15" x14ac:dyDescent="0.3">
      <c r="A1182" t="s">
        <v>1220</v>
      </c>
      <c r="B1182">
        <v>54</v>
      </c>
      <c r="C1182" t="s">
        <v>24</v>
      </c>
      <c r="D1182" t="s">
        <v>35</v>
      </c>
      <c r="E1182" t="s">
        <v>50</v>
      </c>
      <c r="F1182" t="s">
        <v>38</v>
      </c>
      <c r="G1182" t="s">
        <v>20</v>
      </c>
      <c r="H1182">
        <v>35032</v>
      </c>
      <c r="I1182">
        <v>12</v>
      </c>
      <c r="J1182">
        <v>1</v>
      </c>
      <c r="K1182" t="s">
        <v>21</v>
      </c>
      <c r="L1182" t="s">
        <v>47</v>
      </c>
      <c r="M1182">
        <v>37</v>
      </c>
      <c r="N1182" t="s">
        <v>21</v>
      </c>
      <c r="O1182">
        <v>2</v>
      </c>
    </row>
    <row r="1183" spans="1:15" x14ac:dyDescent="0.3">
      <c r="A1183" t="s">
        <v>1221</v>
      </c>
      <c r="B1183">
        <v>29</v>
      </c>
      <c r="C1183" t="s">
        <v>24</v>
      </c>
      <c r="D1183" t="s">
        <v>25</v>
      </c>
      <c r="E1183" t="s">
        <v>26</v>
      </c>
      <c r="F1183" t="s">
        <v>36</v>
      </c>
      <c r="G1183" t="s">
        <v>20</v>
      </c>
      <c r="H1183">
        <v>72797</v>
      </c>
      <c r="I1183">
        <v>9</v>
      </c>
      <c r="J1183">
        <v>8</v>
      </c>
      <c r="K1183" t="s">
        <v>21</v>
      </c>
      <c r="L1183" t="s">
        <v>22</v>
      </c>
      <c r="M1183">
        <v>81</v>
      </c>
      <c r="N1183" t="s">
        <v>21</v>
      </c>
      <c r="O1183">
        <v>4</v>
      </c>
    </row>
    <row r="1184" spans="1:15" x14ac:dyDescent="0.3">
      <c r="A1184" t="s">
        <v>1222</v>
      </c>
      <c r="B1184">
        <v>46</v>
      </c>
      <c r="C1184" t="s">
        <v>24</v>
      </c>
      <c r="D1184" t="s">
        <v>32</v>
      </c>
      <c r="E1184" t="s">
        <v>33</v>
      </c>
      <c r="F1184" t="s">
        <v>19</v>
      </c>
      <c r="G1184" t="s">
        <v>28</v>
      </c>
      <c r="H1184">
        <v>55294</v>
      </c>
      <c r="I1184">
        <v>19</v>
      </c>
      <c r="J1184">
        <v>6</v>
      </c>
      <c r="K1184" t="s">
        <v>21</v>
      </c>
      <c r="L1184" t="s">
        <v>30</v>
      </c>
      <c r="M1184">
        <v>60</v>
      </c>
      <c r="N1184" t="s">
        <v>21</v>
      </c>
      <c r="O1184">
        <v>5</v>
      </c>
    </row>
    <row r="1185" spans="1:15" x14ac:dyDescent="0.3">
      <c r="A1185" t="s">
        <v>1223</v>
      </c>
      <c r="B1185">
        <v>22</v>
      </c>
      <c r="C1185" t="s">
        <v>16</v>
      </c>
      <c r="D1185" t="s">
        <v>44</v>
      </c>
      <c r="E1185" t="s">
        <v>50</v>
      </c>
      <c r="F1185" t="s">
        <v>36</v>
      </c>
      <c r="G1185" t="s">
        <v>28</v>
      </c>
      <c r="H1185">
        <v>63827</v>
      </c>
      <c r="I1185">
        <v>13</v>
      </c>
      <c r="J1185">
        <v>7</v>
      </c>
      <c r="K1185" t="s">
        <v>21</v>
      </c>
      <c r="L1185" t="s">
        <v>47</v>
      </c>
      <c r="M1185">
        <v>40</v>
      </c>
      <c r="N1185" t="s">
        <v>29</v>
      </c>
      <c r="O1185">
        <v>3</v>
      </c>
    </row>
    <row r="1186" spans="1:15" x14ac:dyDescent="0.3">
      <c r="A1186" t="s">
        <v>1224</v>
      </c>
      <c r="B1186">
        <v>29</v>
      </c>
      <c r="C1186" t="s">
        <v>24</v>
      </c>
      <c r="D1186" t="s">
        <v>17</v>
      </c>
      <c r="E1186" t="s">
        <v>26</v>
      </c>
      <c r="F1186" t="s">
        <v>19</v>
      </c>
      <c r="G1186" t="s">
        <v>28</v>
      </c>
      <c r="H1186">
        <v>23516</v>
      </c>
      <c r="I1186">
        <v>11</v>
      </c>
      <c r="J1186">
        <v>5</v>
      </c>
      <c r="K1186" t="s">
        <v>21</v>
      </c>
      <c r="L1186" t="s">
        <v>22</v>
      </c>
      <c r="M1186">
        <v>58</v>
      </c>
      <c r="N1186" t="s">
        <v>21</v>
      </c>
      <c r="O1186">
        <v>2</v>
      </c>
    </row>
    <row r="1187" spans="1:15" x14ac:dyDescent="0.3">
      <c r="A1187" t="s">
        <v>1225</v>
      </c>
      <c r="B1187">
        <v>29</v>
      </c>
      <c r="C1187" t="s">
        <v>16</v>
      </c>
      <c r="D1187" t="s">
        <v>35</v>
      </c>
      <c r="E1187" t="s">
        <v>26</v>
      </c>
      <c r="F1187" t="s">
        <v>19</v>
      </c>
      <c r="G1187" t="s">
        <v>20</v>
      </c>
      <c r="H1187">
        <v>39751</v>
      </c>
      <c r="I1187">
        <v>18</v>
      </c>
      <c r="J1187">
        <v>5</v>
      </c>
      <c r="K1187" t="s">
        <v>29</v>
      </c>
      <c r="L1187" t="s">
        <v>30</v>
      </c>
      <c r="M1187">
        <v>23</v>
      </c>
      <c r="N1187" t="s">
        <v>29</v>
      </c>
      <c r="O1187">
        <v>1</v>
      </c>
    </row>
    <row r="1188" spans="1:15" x14ac:dyDescent="0.3">
      <c r="A1188" t="s">
        <v>1226</v>
      </c>
      <c r="B1188">
        <v>37</v>
      </c>
      <c r="C1188" t="s">
        <v>16</v>
      </c>
      <c r="D1188" t="s">
        <v>44</v>
      </c>
      <c r="E1188" t="s">
        <v>26</v>
      </c>
      <c r="F1188" t="s">
        <v>27</v>
      </c>
      <c r="G1188" t="s">
        <v>20</v>
      </c>
      <c r="H1188">
        <v>50373</v>
      </c>
      <c r="I1188">
        <v>6</v>
      </c>
      <c r="J1188">
        <v>8</v>
      </c>
      <c r="K1188" t="s">
        <v>29</v>
      </c>
      <c r="L1188" t="s">
        <v>22</v>
      </c>
      <c r="M1188">
        <v>47</v>
      </c>
      <c r="N1188" t="s">
        <v>29</v>
      </c>
      <c r="O1188">
        <v>3</v>
      </c>
    </row>
    <row r="1189" spans="1:15" x14ac:dyDescent="0.3">
      <c r="A1189" t="s">
        <v>1227</v>
      </c>
      <c r="B1189">
        <v>21</v>
      </c>
      <c r="C1189" t="s">
        <v>24</v>
      </c>
      <c r="D1189" t="s">
        <v>25</v>
      </c>
      <c r="E1189" t="s">
        <v>26</v>
      </c>
      <c r="F1189" t="s">
        <v>27</v>
      </c>
      <c r="G1189" t="s">
        <v>20</v>
      </c>
      <c r="H1189">
        <v>50270</v>
      </c>
      <c r="I1189">
        <v>14</v>
      </c>
      <c r="J1189">
        <v>3</v>
      </c>
      <c r="K1189" t="s">
        <v>21</v>
      </c>
      <c r="L1189" t="s">
        <v>45</v>
      </c>
      <c r="M1189">
        <v>16</v>
      </c>
      <c r="N1189" t="s">
        <v>29</v>
      </c>
      <c r="O1189">
        <v>3</v>
      </c>
    </row>
    <row r="1190" spans="1:15" x14ac:dyDescent="0.3">
      <c r="A1190" t="s">
        <v>1228</v>
      </c>
      <c r="B1190">
        <v>45</v>
      </c>
      <c r="C1190" t="s">
        <v>24</v>
      </c>
      <c r="D1190" t="s">
        <v>40</v>
      </c>
      <c r="E1190" t="s">
        <v>41</v>
      </c>
      <c r="F1190" t="s">
        <v>27</v>
      </c>
      <c r="G1190" t="s">
        <v>20</v>
      </c>
      <c r="H1190">
        <v>30386</v>
      </c>
      <c r="I1190">
        <v>15</v>
      </c>
      <c r="J1190">
        <v>4</v>
      </c>
      <c r="K1190" t="s">
        <v>29</v>
      </c>
      <c r="L1190" t="s">
        <v>22</v>
      </c>
      <c r="M1190">
        <v>15</v>
      </c>
      <c r="N1190" t="s">
        <v>21</v>
      </c>
      <c r="O1190">
        <v>5</v>
      </c>
    </row>
    <row r="1191" spans="1:15" x14ac:dyDescent="0.3">
      <c r="A1191" t="s">
        <v>1229</v>
      </c>
      <c r="B1191">
        <v>45</v>
      </c>
      <c r="C1191" t="s">
        <v>24</v>
      </c>
      <c r="D1191" t="s">
        <v>25</v>
      </c>
      <c r="E1191" t="s">
        <v>26</v>
      </c>
      <c r="F1191" t="s">
        <v>36</v>
      </c>
      <c r="G1191" t="s">
        <v>20</v>
      </c>
      <c r="H1191">
        <v>84817</v>
      </c>
      <c r="I1191">
        <v>7</v>
      </c>
      <c r="J1191">
        <v>8</v>
      </c>
      <c r="K1191" t="s">
        <v>21</v>
      </c>
      <c r="L1191" t="s">
        <v>22</v>
      </c>
      <c r="M1191">
        <v>74</v>
      </c>
      <c r="N1191" t="s">
        <v>29</v>
      </c>
      <c r="O1191">
        <v>3</v>
      </c>
    </row>
    <row r="1192" spans="1:15" x14ac:dyDescent="0.3">
      <c r="A1192" t="s">
        <v>1230</v>
      </c>
      <c r="B1192">
        <v>59</v>
      </c>
      <c r="C1192" t="s">
        <v>24</v>
      </c>
      <c r="D1192" t="s">
        <v>32</v>
      </c>
      <c r="E1192" t="s">
        <v>41</v>
      </c>
      <c r="F1192" t="s">
        <v>27</v>
      </c>
      <c r="G1192" t="s">
        <v>28</v>
      </c>
      <c r="H1192">
        <v>85184</v>
      </c>
      <c r="I1192">
        <v>9</v>
      </c>
      <c r="J1192">
        <v>0</v>
      </c>
      <c r="K1192" t="s">
        <v>21</v>
      </c>
      <c r="L1192" t="s">
        <v>45</v>
      </c>
      <c r="M1192">
        <v>16</v>
      </c>
      <c r="N1192" t="s">
        <v>21</v>
      </c>
      <c r="O1192">
        <v>3</v>
      </c>
    </row>
    <row r="1193" spans="1:15" x14ac:dyDescent="0.3">
      <c r="A1193" t="s">
        <v>1231</v>
      </c>
      <c r="B1193">
        <v>55</v>
      </c>
      <c r="C1193" t="s">
        <v>24</v>
      </c>
      <c r="D1193" t="s">
        <v>17</v>
      </c>
      <c r="E1193" t="s">
        <v>41</v>
      </c>
      <c r="F1193" t="s">
        <v>27</v>
      </c>
      <c r="G1193" t="s">
        <v>20</v>
      </c>
      <c r="H1193">
        <v>99693</v>
      </c>
      <c r="I1193">
        <v>3</v>
      </c>
      <c r="J1193">
        <v>3</v>
      </c>
      <c r="K1193" t="s">
        <v>29</v>
      </c>
      <c r="L1193" t="s">
        <v>47</v>
      </c>
      <c r="M1193">
        <v>95</v>
      </c>
      <c r="N1193" t="s">
        <v>29</v>
      </c>
      <c r="O1193">
        <v>5</v>
      </c>
    </row>
    <row r="1194" spans="1:15" x14ac:dyDescent="0.3">
      <c r="A1194" t="s">
        <v>1232</v>
      </c>
      <c r="B1194">
        <v>23</v>
      </c>
      <c r="C1194" t="s">
        <v>24</v>
      </c>
      <c r="D1194" t="s">
        <v>32</v>
      </c>
      <c r="E1194" t="s">
        <v>26</v>
      </c>
      <c r="F1194" t="s">
        <v>38</v>
      </c>
      <c r="G1194" t="s">
        <v>28</v>
      </c>
      <c r="H1194">
        <v>57879</v>
      </c>
      <c r="I1194">
        <v>18</v>
      </c>
      <c r="J1194">
        <v>6</v>
      </c>
      <c r="K1194" t="s">
        <v>29</v>
      </c>
      <c r="L1194" t="s">
        <v>45</v>
      </c>
      <c r="M1194">
        <v>45</v>
      </c>
      <c r="N1194" t="s">
        <v>29</v>
      </c>
      <c r="O1194">
        <v>5</v>
      </c>
    </row>
    <row r="1195" spans="1:15" x14ac:dyDescent="0.3">
      <c r="A1195" t="s">
        <v>1233</v>
      </c>
      <c r="B1195">
        <v>57</v>
      </c>
      <c r="C1195" t="s">
        <v>16</v>
      </c>
      <c r="D1195" t="s">
        <v>35</v>
      </c>
      <c r="E1195" t="s">
        <v>33</v>
      </c>
      <c r="F1195" t="s">
        <v>19</v>
      </c>
      <c r="G1195" t="s">
        <v>28</v>
      </c>
      <c r="H1195">
        <v>69597</v>
      </c>
      <c r="I1195">
        <v>18</v>
      </c>
      <c r="J1195">
        <v>8</v>
      </c>
      <c r="K1195" t="s">
        <v>21</v>
      </c>
      <c r="L1195" t="s">
        <v>47</v>
      </c>
      <c r="M1195">
        <v>29</v>
      </c>
      <c r="N1195" t="s">
        <v>29</v>
      </c>
      <c r="O1195">
        <v>4</v>
      </c>
    </row>
    <row r="1196" spans="1:15" x14ac:dyDescent="0.3">
      <c r="A1196" t="s">
        <v>1234</v>
      </c>
      <c r="B1196">
        <v>50</v>
      </c>
      <c r="C1196" t="s">
        <v>16</v>
      </c>
      <c r="D1196" t="s">
        <v>35</v>
      </c>
      <c r="E1196" t="s">
        <v>26</v>
      </c>
      <c r="F1196" t="s">
        <v>19</v>
      </c>
      <c r="G1196" t="s">
        <v>20</v>
      </c>
      <c r="H1196">
        <v>59132</v>
      </c>
      <c r="I1196">
        <v>14</v>
      </c>
      <c r="J1196">
        <v>9</v>
      </c>
      <c r="K1196" t="s">
        <v>21</v>
      </c>
      <c r="L1196" t="s">
        <v>45</v>
      </c>
      <c r="M1196">
        <v>7</v>
      </c>
      <c r="N1196" t="s">
        <v>21</v>
      </c>
      <c r="O1196">
        <v>2</v>
      </c>
    </row>
    <row r="1197" spans="1:15" x14ac:dyDescent="0.3">
      <c r="A1197" t="s">
        <v>1235</v>
      </c>
      <c r="B1197">
        <v>58</v>
      </c>
      <c r="C1197" t="s">
        <v>16</v>
      </c>
      <c r="D1197" t="s">
        <v>17</v>
      </c>
      <c r="E1197" t="s">
        <v>26</v>
      </c>
      <c r="F1197" t="s">
        <v>27</v>
      </c>
      <c r="G1197" t="s">
        <v>28</v>
      </c>
      <c r="H1197">
        <v>23626</v>
      </c>
      <c r="I1197">
        <v>13</v>
      </c>
      <c r="J1197">
        <v>5</v>
      </c>
      <c r="K1197" t="s">
        <v>29</v>
      </c>
      <c r="L1197" t="s">
        <v>22</v>
      </c>
      <c r="M1197">
        <v>7</v>
      </c>
      <c r="N1197" t="s">
        <v>21</v>
      </c>
      <c r="O1197">
        <v>2</v>
      </c>
    </row>
    <row r="1198" spans="1:15" x14ac:dyDescent="0.3">
      <c r="A1198" t="s">
        <v>1236</v>
      </c>
      <c r="B1198">
        <v>54</v>
      </c>
      <c r="C1198" t="s">
        <v>24</v>
      </c>
      <c r="D1198" t="s">
        <v>44</v>
      </c>
      <c r="E1198" t="s">
        <v>26</v>
      </c>
      <c r="F1198" t="s">
        <v>19</v>
      </c>
      <c r="G1198" t="s">
        <v>20</v>
      </c>
      <c r="H1198">
        <v>105936</v>
      </c>
      <c r="I1198">
        <v>0</v>
      </c>
      <c r="J1198">
        <v>7</v>
      </c>
      <c r="K1198" t="s">
        <v>29</v>
      </c>
      <c r="L1198" t="s">
        <v>22</v>
      </c>
      <c r="M1198">
        <v>88</v>
      </c>
      <c r="N1198" t="s">
        <v>29</v>
      </c>
      <c r="O1198">
        <v>4</v>
      </c>
    </row>
    <row r="1199" spans="1:15" x14ac:dyDescent="0.3">
      <c r="A1199" t="s">
        <v>1237</v>
      </c>
      <c r="B1199">
        <v>32</v>
      </c>
      <c r="C1199" t="s">
        <v>16</v>
      </c>
      <c r="D1199" t="s">
        <v>44</v>
      </c>
      <c r="E1199" t="s">
        <v>33</v>
      </c>
      <c r="F1199" t="s">
        <v>38</v>
      </c>
      <c r="G1199" t="s">
        <v>28</v>
      </c>
      <c r="H1199">
        <v>101515</v>
      </c>
      <c r="I1199">
        <v>15</v>
      </c>
      <c r="J1199">
        <v>8</v>
      </c>
      <c r="K1199" t="s">
        <v>21</v>
      </c>
      <c r="L1199" t="s">
        <v>47</v>
      </c>
      <c r="M1199">
        <v>32</v>
      </c>
      <c r="N1199" t="s">
        <v>21</v>
      </c>
      <c r="O1199">
        <v>2</v>
      </c>
    </row>
    <row r="1200" spans="1:15" x14ac:dyDescent="0.3">
      <c r="A1200" t="s">
        <v>1238</v>
      </c>
      <c r="B1200">
        <v>39</v>
      </c>
      <c r="C1200" t="s">
        <v>16</v>
      </c>
      <c r="D1200" t="s">
        <v>35</v>
      </c>
      <c r="E1200" t="s">
        <v>18</v>
      </c>
      <c r="F1200" t="s">
        <v>38</v>
      </c>
      <c r="G1200" t="s">
        <v>20</v>
      </c>
      <c r="H1200">
        <v>97065</v>
      </c>
      <c r="I1200">
        <v>9</v>
      </c>
      <c r="J1200">
        <v>9</v>
      </c>
      <c r="K1200" t="s">
        <v>21</v>
      </c>
      <c r="L1200" t="s">
        <v>47</v>
      </c>
      <c r="M1200">
        <v>27</v>
      </c>
      <c r="N1200" t="s">
        <v>21</v>
      </c>
      <c r="O1200">
        <v>3</v>
      </c>
    </row>
    <row r="1201" spans="1:15" x14ac:dyDescent="0.3">
      <c r="A1201" t="s">
        <v>1239</v>
      </c>
      <c r="B1201">
        <v>57</v>
      </c>
      <c r="C1201" t="s">
        <v>16</v>
      </c>
      <c r="D1201" t="s">
        <v>35</v>
      </c>
      <c r="E1201" t="s">
        <v>18</v>
      </c>
      <c r="F1201" t="s">
        <v>27</v>
      </c>
      <c r="G1201" t="s">
        <v>20</v>
      </c>
      <c r="H1201">
        <v>75390</v>
      </c>
      <c r="I1201">
        <v>18</v>
      </c>
      <c r="J1201">
        <v>3</v>
      </c>
      <c r="K1201" t="s">
        <v>21</v>
      </c>
      <c r="L1201" t="s">
        <v>30</v>
      </c>
      <c r="M1201">
        <v>52</v>
      </c>
      <c r="N1201" t="s">
        <v>29</v>
      </c>
      <c r="O1201">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4DF569-582C-4088-91E4-91FD534C19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HR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SINAN __</dc:creator>
  <cp:lastModifiedBy>SINAN __</cp:lastModifiedBy>
  <dcterms:created xsi:type="dcterms:W3CDTF">2026-03-05T05:07:13Z</dcterms:created>
  <dcterms:modified xsi:type="dcterms:W3CDTF">2026-03-08T10:15:54Z</dcterms:modified>
</cp:coreProperties>
</file>